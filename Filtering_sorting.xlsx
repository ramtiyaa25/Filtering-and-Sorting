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ing" sheetId="1" r:id="rId4"/>
    <sheet state="visible" name="sorting" sheetId="2" r:id="rId5"/>
  </sheets>
  <definedNames>
    <definedName name="Veg">#REF!</definedName>
    <definedName name="India">#REF!</definedName>
    <definedName name="Fruits">#REF!</definedName>
    <definedName name="USA">#REF!</definedName>
    <definedName hidden="1" localSheetId="0" name="_xlnm._FilterDatabase">Filtering!$B$1:$G$44</definedName>
    <definedName hidden="1" localSheetId="1" name="_xlnm._FilterDatabase">sorting!$B$1:$G$1</definedName>
  </definedNames>
  <calcPr/>
  <extLst>
    <ext uri="GoogleSheetsCustomDataVersion2">
      <go:sheetsCustomData xmlns:go="http://customooxmlschemas.google.com/" r:id="rId6" roundtripDataChecksum="4K+dL5WX1KAOoNS5ub0nccjTeD5/po7BOP4bSRI9TkU="/>
    </ext>
  </extLst>
</workbook>
</file>

<file path=xl/sharedStrings.xml><?xml version="1.0" encoding="utf-8"?>
<sst xmlns="http://schemas.openxmlformats.org/spreadsheetml/2006/main" count="471" uniqueCount="81">
  <si>
    <t>Product Name</t>
  </si>
  <si>
    <t>Price</t>
  </si>
  <si>
    <t>Qty</t>
  </si>
  <si>
    <t>Amount</t>
  </si>
  <si>
    <t>Order Date</t>
  </si>
  <si>
    <t>City</t>
  </si>
  <si>
    <t>Wireless Mouse</t>
  </si>
  <si>
    <t>B2:G44</t>
  </si>
  <si>
    <t>Delhi</t>
  </si>
  <si>
    <t>Q1) Sort all records in asc order or amount</t>
  </si>
  <si>
    <t>Q1) Fill all records where Price &gt; 10000</t>
  </si>
  <si>
    <t>Mechanical Keyboard</t>
  </si>
  <si>
    <t>Mumbai</t>
  </si>
  <si>
    <t>Gaming Headset</t>
  </si>
  <si>
    <t>Pune</t>
  </si>
  <si>
    <t>USB Flash Drive 32GB</t>
  </si>
  <si>
    <t>Noida</t>
  </si>
  <si>
    <t>Q2) Sort all records in desc order of price</t>
  </si>
  <si>
    <t>Laptop Stand</t>
  </si>
  <si>
    <t>Bluetooth Speaker</t>
  </si>
  <si>
    <t>Q2) Find all records where Price is greater than 500 and Qty is at least 2.</t>
  </si>
  <si>
    <t>Smartphone Charger</t>
  </si>
  <si>
    <t>Q3) Sort all records in asc order of City and desc order of amount</t>
  </si>
  <si>
    <t>Power Bank 10000mAh</t>
  </si>
  <si>
    <t>Overall data will be sorted in Asc order of City, amount will be sorted in desc order of each City</t>
  </si>
  <si>
    <t>Q3) Retrieve all orders placed in March and belonging to Mumbai.</t>
  </si>
  <si>
    <t>Smartwatch</t>
  </si>
  <si>
    <t>External Hard Drive 1TB</t>
  </si>
  <si>
    <t>Q4) Sort all records from Mumbai in desc order of Amount</t>
  </si>
  <si>
    <t>Portable SSD 512GB</t>
  </si>
  <si>
    <t>Wireless Earbuds</t>
  </si>
  <si>
    <t>Q4) Retrieve all orders placed in Feb and Amount &gt; 3000</t>
  </si>
  <si>
    <t>LED Desk Lamp</t>
  </si>
  <si>
    <t>Q5) Sort Only Delhi records in desc order of order date</t>
  </si>
  <si>
    <t>Graphics Tablet</t>
  </si>
  <si>
    <t>Q5) Find all records where Order date between 10Jan2024 and 25Jan 2024</t>
  </si>
  <si>
    <t>USB-C Hub</t>
  </si>
  <si>
    <t>Mechanical Pencil</t>
  </si>
  <si>
    <t>1 - Asc, 0 - Desc</t>
  </si>
  <si>
    <t>Noise Cancelling Headphones</t>
  </si>
  <si>
    <t xml:space="preserve">Q1) </t>
  </si>
  <si>
    <t>Q6) Filter all records where Qty is 2 or 3</t>
  </si>
  <si>
    <t>Q7) Display orders where City end with "i" (e.g., Mumbai, Delhi).</t>
  </si>
  <si>
    <t>Webcam Full HD</t>
  </si>
  <si>
    <t>Q8) Filter records where order date is weekends</t>
  </si>
  <si>
    <t>Smart Bulb</t>
  </si>
  <si>
    <t>Ergonomic Chair</t>
  </si>
  <si>
    <t>Monitor 24-inch</t>
  </si>
  <si>
    <t>Q9) Filter all records where product name contains the word Smart</t>
  </si>
  <si>
    <t>USB Extension Cable</t>
  </si>
  <si>
    <t>Laptop Cooling Pad</t>
  </si>
  <si>
    <t>Office Desk</t>
  </si>
  <si>
    <t>Q1)</t>
  </si>
  <si>
    <t>HDMI Cable 2m</t>
  </si>
  <si>
    <t>Wireless Keyboard</t>
  </si>
  <si>
    <t>Car Phone Mount</t>
  </si>
  <si>
    <t>VR Headset</t>
  </si>
  <si>
    <t>Noise Reduction Earplugs</t>
  </si>
  <si>
    <t>Smart Thermostat</t>
  </si>
  <si>
    <t>E-Book Reader</t>
  </si>
  <si>
    <t>Smart Door Lock</t>
  </si>
  <si>
    <t>Fitness Tracker</t>
  </si>
  <si>
    <t>Electric Toothbrush</t>
  </si>
  <si>
    <t>Q2)</t>
  </si>
  <si>
    <t>Wireless Printer</t>
  </si>
  <si>
    <t>Smart Security Camera</t>
  </si>
  <si>
    <t>Digital Drawing Pad</t>
  </si>
  <si>
    <t>External DVD Drive</t>
  </si>
  <si>
    <t>Wireless Charging Pad</t>
  </si>
  <si>
    <t>USB Microphone</t>
  </si>
  <si>
    <t>Robot Vacuum Cleaner</t>
  </si>
  <si>
    <t>Air Purifier</t>
  </si>
  <si>
    <t>Noise Blocking Headphones</t>
  </si>
  <si>
    <t>Q3)</t>
  </si>
  <si>
    <t>Q4)</t>
  </si>
  <si>
    <t>Q5)</t>
  </si>
  <si>
    <t>Q6)</t>
  </si>
  <si>
    <t xml:space="preserve">Q5) </t>
  </si>
  <si>
    <t xml:space="preserve">Q7) </t>
  </si>
  <si>
    <t>Q8)</t>
  </si>
  <si>
    <t>Q9)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</si>
</sst>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3" numFmtId="0" xfId="0" applyFont="1"/>
    <xf borderId="1" fillId="2" fontId="2" numFmtId="0" xfId="0" applyAlignment="1" applyBorder="1" applyFill="1" applyFont="1">
      <alignment horizontal="left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4" xfId="0" applyFont="1" applyNumberFormat="1"/>
    <xf borderId="4" fillId="3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center"/>
    </xf>
    <xf borderId="0" fillId="4" fontId="1" numFmtId="0" xfId="0" applyAlignment="1" applyFill="1" applyFont="1">
      <alignment readingOrder="0"/>
    </xf>
    <xf borderId="0" fillId="4" fontId="2" numFmtId="0" xfId="0" applyFill="1" applyFont="1"/>
    <xf borderId="0" fillId="0" fontId="2" numFmtId="0" xfId="0" applyFont="1"/>
    <xf borderId="4" fillId="3" fontId="1" numFmtId="0" xfId="0" applyBorder="1" applyFill="1" applyFont="1"/>
    <xf borderId="4" fillId="3" fontId="2" numFmtId="0" xfId="0" applyBorder="1" applyFill="1" applyFont="1"/>
    <xf borderId="0" fillId="0" fontId="3" numFmtId="164" xfId="0" applyFont="1" applyNumberFormat="1"/>
    <xf borderId="1" fillId="3" fontId="1" numFmtId="0" xfId="0" applyAlignment="1" applyBorder="1" applyFill="1" applyFont="1">
      <alignment horizontal="center"/>
    </xf>
    <xf borderId="0" fillId="0" fontId="5" numFmtId="0" xfId="0" applyFont="1"/>
    <xf borderId="1" fillId="3" fontId="1" numFmtId="0" xfId="0" applyAlignment="1" applyBorder="1" applyFill="1" applyFont="1">
      <alignment horizontal="left"/>
    </xf>
    <xf borderId="0" fillId="5" fontId="3" numFmtId="0" xfId="0" applyAlignment="1" applyFill="1" applyFont="1">
      <alignment readingOrder="0"/>
    </xf>
    <xf borderId="0" fillId="5" fontId="5" numFmtId="0" xfId="0" applyFill="1" applyFont="1"/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57"/>
    <col customWidth="1" min="3" max="5" width="8.71"/>
    <col customWidth="1" min="6" max="6" width="13.0"/>
    <col customWidth="1" min="7" max="9" width="8.71"/>
    <col customWidth="1" min="10" max="10" width="16.43"/>
    <col customWidth="1" min="11" max="11" width="10.14"/>
    <col customWidth="1" min="12" max="13" width="8.71"/>
    <col customWidth="1" min="14" max="14" width="10.43"/>
    <col customWidth="1" min="15" max="15" width="8.71"/>
    <col customWidth="1" min="16" max="16" width="10.0"/>
    <col customWidth="1" min="17" max="17" width="14.86"/>
    <col customWidth="1" min="18" max="18" width="14.57"/>
    <col customWidth="1" min="19" max="21" width="8.71"/>
    <col customWidth="1" min="22" max="22" width="11.71"/>
    <col customWidth="1" min="23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 t="s">
        <v>7</v>
      </c>
    </row>
    <row r="2" ht="16.5" customHeight="1">
      <c r="B2" s="2" t="s">
        <v>6</v>
      </c>
      <c r="C2" s="2">
        <v>450.0</v>
      </c>
      <c r="D2" s="2">
        <v>2.0</v>
      </c>
      <c r="E2" s="2">
        <v>900.0</v>
      </c>
      <c r="F2" s="3">
        <v>45296.0</v>
      </c>
      <c r="G2" s="4" t="s">
        <v>8</v>
      </c>
      <c r="J2" s="5" t="s">
        <v>10</v>
      </c>
      <c r="K2" s="6"/>
      <c r="L2" s="6"/>
      <c r="M2" s="7"/>
    </row>
    <row r="3" ht="15.0" customHeight="1">
      <c r="B3" s="2" t="s">
        <v>11</v>
      </c>
      <c r="C3" s="2">
        <v>1200.0</v>
      </c>
      <c r="D3" s="2">
        <v>1.0</v>
      </c>
      <c r="E3" s="2">
        <v>1200.0</v>
      </c>
      <c r="F3" s="3">
        <v>45332.0</v>
      </c>
      <c r="G3" s="4" t="s">
        <v>12</v>
      </c>
    </row>
    <row r="4" ht="13.5" customHeight="1">
      <c r="B4" s="2" t="s">
        <v>13</v>
      </c>
      <c r="C4" s="2">
        <v>1800.0</v>
      </c>
      <c r="D4" s="2">
        <v>2.0</v>
      </c>
      <c r="E4" s="2">
        <v>3600.0</v>
      </c>
      <c r="F4" s="3">
        <v>45313.0</v>
      </c>
      <c r="G4" s="4" t="s">
        <v>14</v>
      </c>
      <c r="J4" s="5" t="s">
        <v>20</v>
      </c>
      <c r="K4" s="6"/>
      <c r="L4" s="6"/>
      <c r="M4" s="6"/>
      <c r="N4" s="6"/>
      <c r="O4" s="6"/>
      <c r="P4" s="7"/>
    </row>
    <row r="5" ht="17.25" customHeight="1">
      <c r="B5" s="2" t="s">
        <v>15</v>
      </c>
      <c r="C5" s="2">
        <v>600.0</v>
      </c>
      <c r="D5" s="2">
        <v>3.0</v>
      </c>
      <c r="E5" s="2">
        <v>1800.0</v>
      </c>
      <c r="F5" s="3">
        <v>45353.0</v>
      </c>
      <c r="G5" s="4" t="s">
        <v>16</v>
      </c>
    </row>
    <row r="6" ht="17.25" customHeight="1">
      <c r="B6" s="2" t="s">
        <v>18</v>
      </c>
      <c r="C6" s="2">
        <v>750.0</v>
      </c>
      <c r="D6" s="2">
        <v>1.0</v>
      </c>
      <c r="E6" s="2">
        <v>750.0</v>
      </c>
      <c r="F6" s="3">
        <v>45337.0</v>
      </c>
      <c r="G6" s="4" t="s">
        <v>8</v>
      </c>
      <c r="J6" s="5" t="s">
        <v>25</v>
      </c>
      <c r="K6" s="6"/>
      <c r="L6" s="6"/>
      <c r="M6" s="6"/>
      <c r="N6" s="6"/>
      <c r="O6" s="6"/>
      <c r="P6" s="7"/>
    </row>
    <row r="7" ht="18.0" customHeight="1">
      <c r="B7" s="2" t="s">
        <v>19</v>
      </c>
      <c r="C7" s="2">
        <v>2000.0</v>
      </c>
      <c r="D7" s="2">
        <v>2.0</v>
      </c>
      <c r="E7" s="2">
        <v>4000.0</v>
      </c>
      <c r="F7" s="3">
        <v>45299.0</v>
      </c>
      <c r="G7" s="4" t="s">
        <v>16</v>
      </c>
    </row>
    <row r="8" ht="18.0" customHeight="1">
      <c r="B8" s="2" t="s">
        <v>21</v>
      </c>
      <c r="C8" s="2">
        <v>500.0</v>
      </c>
      <c r="D8" s="2">
        <v>3.0</v>
      </c>
      <c r="E8" s="2">
        <v>1500.0</v>
      </c>
      <c r="F8" s="3">
        <v>45369.0</v>
      </c>
      <c r="G8" s="4" t="s">
        <v>14</v>
      </c>
      <c r="J8" s="5" t="s">
        <v>31</v>
      </c>
      <c r="K8" s="6"/>
      <c r="L8" s="6"/>
      <c r="M8" s="6"/>
      <c r="N8" s="6"/>
      <c r="O8" s="6"/>
      <c r="P8" s="7"/>
    </row>
    <row r="9" ht="18.0" customHeight="1">
      <c r="B9" s="2" t="s">
        <v>23</v>
      </c>
      <c r="C9" s="2">
        <v>1200.0</v>
      </c>
      <c r="D9" s="2">
        <v>2.0</v>
      </c>
      <c r="E9" s="2">
        <v>2400.0</v>
      </c>
      <c r="F9" s="3">
        <v>45349.0</v>
      </c>
      <c r="G9" s="4" t="s">
        <v>14</v>
      </c>
    </row>
    <row r="10" ht="18.0" customHeight="1">
      <c r="B10" s="2" t="s">
        <v>26</v>
      </c>
      <c r="C10" s="2">
        <v>3500.0</v>
      </c>
      <c r="D10" s="2">
        <v>1.0</v>
      </c>
      <c r="E10" s="2">
        <v>3500.0</v>
      </c>
      <c r="F10" s="3">
        <v>45383.0</v>
      </c>
      <c r="G10" s="4" t="s">
        <v>12</v>
      </c>
      <c r="J10" s="5" t="s">
        <v>35</v>
      </c>
      <c r="K10" s="6"/>
      <c r="L10" s="6"/>
      <c r="M10" s="6"/>
      <c r="N10" s="6"/>
      <c r="O10" s="6"/>
      <c r="P10" s="6"/>
      <c r="Q10" s="7"/>
    </row>
    <row r="11" ht="20.25" customHeight="1">
      <c r="B11" s="2" t="s">
        <v>27</v>
      </c>
      <c r="C11" s="2">
        <v>4500.0</v>
      </c>
      <c r="D11" s="2">
        <v>1.0</v>
      </c>
      <c r="E11" s="2">
        <v>4500.0</v>
      </c>
      <c r="F11" s="3">
        <v>45321.0</v>
      </c>
      <c r="G11" s="4" t="s">
        <v>8</v>
      </c>
    </row>
    <row r="12" ht="21.0" customHeight="1">
      <c r="B12" s="2" t="s">
        <v>29</v>
      </c>
      <c r="C12" s="2">
        <v>5800.0</v>
      </c>
      <c r="D12" s="2">
        <v>1.0</v>
      </c>
      <c r="E12" s="2">
        <v>5800.0</v>
      </c>
      <c r="F12" s="3">
        <v>45334.0</v>
      </c>
      <c r="G12" s="4" t="s">
        <v>16</v>
      </c>
    </row>
    <row r="13" ht="15.0" customHeight="1">
      <c r="B13" s="2" t="s">
        <v>30</v>
      </c>
      <c r="C13" s="2">
        <v>2500.0</v>
      </c>
      <c r="D13" s="2">
        <v>2.0</v>
      </c>
      <c r="E13" s="2">
        <v>5000.0</v>
      </c>
      <c r="F13" s="3">
        <v>45371.0</v>
      </c>
      <c r="G13" s="4" t="s">
        <v>16</v>
      </c>
      <c r="J13" s="5" t="s">
        <v>41</v>
      </c>
      <c r="K13" s="6"/>
      <c r="L13" s="6"/>
      <c r="M13" s="7"/>
    </row>
    <row r="14" ht="19.5" customHeight="1">
      <c r="B14" s="2" t="s">
        <v>32</v>
      </c>
      <c r="C14" s="2">
        <v>1200.0</v>
      </c>
      <c r="D14" s="2">
        <v>2.0</v>
      </c>
      <c r="E14" s="2">
        <v>2400.0</v>
      </c>
      <c r="F14" s="3">
        <v>45305.0</v>
      </c>
      <c r="G14" s="4" t="s">
        <v>8</v>
      </c>
    </row>
    <row r="15" ht="18.0" customHeight="1">
      <c r="B15" s="2" t="s">
        <v>34</v>
      </c>
      <c r="C15" s="2">
        <v>7200.0</v>
      </c>
      <c r="D15" s="2">
        <v>1.0</v>
      </c>
      <c r="E15" s="2">
        <v>7200.0</v>
      </c>
      <c r="F15" s="3">
        <v>45356.0</v>
      </c>
      <c r="G15" s="4" t="s">
        <v>8</v>
      </c>
    </row>
    <row r="16" ht="16.5" customHeight="1">
      <c r="B16" s="2" t="s">
        <v>36</v>
      </c>
      <c r="C16" s="2">
        <v>1500.0</v>
      </c>
      <c r="D16" s="2">
        <v>2.0</v>
      </c>
      <c r="E16" s="2">
        <v>3000.0</v>
      </c>
      <c r="F16" s="3">
        <v>45347.0</v>
      </c>
      <c r="G16" s="4" t="s">
        <v>12</v>
      </c>
      <c r="J16" s="5" t="s">
        <v>42</v>
      </c>
      <c r="K16" s="6"/>
      <c r="L16" s="6"/>
      <c r="M16" s="6"/>
      <c r="N16" s="6"/>
      <c r="O16" s="6"/>
      <c r="P16" s="7"/>
    </row>
    <row r="17" ht="19.5" customHeight="1">
      <c r="B17" s="2" t="s">
        <v>37</v>
      </c>
      <c r="C17" s="2">
        <v>150.0</v>
      </c>
      <c r="D17" s="2">
        <v>5.0</v>
      </c>
      <c r="E17" s="2">
        <v>750.0</v>
      </c>
      <c r="F17" s="3">
        <v>45388.0</v>
      </c>
      <c r="G17" s="4" t="s">
        <v>14</v>
      </c>
    </row>
    <row r="18" ht="18.0" customHeight="1">
      <c r="B18" s="2" t="s">
        <v>39</v>
      </c>
      <c r="C18" s="2">
        <v>8500.0</v>
      </c>
      <c r="D18" s="2">
        <v>1.0</v>
      </c>
      <c r="E18" s="2">
        <v>8500.0</v>
      </c>
      <c r="F18" s="3">
        <v>45339.0</v>
      </c>
      <c r="G18" s="4" t="s">
        <v>12</v>
      </c>
    </row>
    <row r="19" ht="15.75" customHeight="1">
      <c r="B19" s="2" t="s">
        <v>43</v>
      </c>
      <c r="C19" s="2">
        <v>3200.0</v>
      </c>
      <c r="D19" s="2">
        <v>1.0</v>
      </c>
      <c r="E19" s="2">
        <v>3200.0</v>
      </c>
      <c r="F19" s="3">
        <v>45380.0</v>
      </c>
      <c r="G19" s="4" t="s">
        <v>12</v>
      </c>
      <c r="J19" s="5" t="s">
        <v>44</v>
      </c>
      <c r="K19" s="6"/>
      <c r="L19" s="6"/>
      <c r="M19" s="6"/>
      <c r="N19" s="6"/>
      <c r="O19" s="6"/>
      <c r="P19" s="7"/>
    </row>
    <row r="20" ht="16.5" customHeight="1">
      <c r="B20" s="2" t="s">
        <v>45</v>
      </c>
      <c r="C20" s="2">
        <v>900.0</v>
      </c>
      <c r="D20" s="2">
        <v>3.0</v>
      </c>
      <c r="E20" s="2">
        <v>2700.0</v>
      </c>
      <c r="F20" s="3">
        <v>45317.0</v>
      </c>
      <c r="G20" s="4" t="s">
        <v>12</v>
      </c>
    </row>
    <row r="21" ht="15.75" customHeight="1">
      <c r="B21" s="2" t="s">
        <v>46</v>
      </c>
      <c r="C21" s="2">
        <v>12500.0</v>
      </c>
      <c r="D21" s="2">
        <v>1.0</v>
      </c>
      <c r="E21" s="2">
        <v>12500.0</v>
      </c>
      <c r="F21" s="3">
        <v>45391.0</v>
      </c>
      <c r="G21" s="4" t="s">
        <v>12</v>
      </c>
    </row>
    <row r="22" ht="16.5" customHeight="1">
      <c r="B22" s="2" t="s">
        <v>47</v>
      </c>
      <c r="C22" s="2">
        <v>9000.0</v>
      </c>
      <c r="D22" s="2">
        <v>1.0</v>
      </c>
      <c r="E22" s="2">
        <v>9000.0</v>
      </c>
      <c r="F22" s="3">
        <v>45302.0</v>
      </c>
      <c r="G22" s="4" t="s">
        <v>14</v>
      </c>
      <c r="J22" s="13" t="s">
        <v>48</v>
      </c>
      <c r="K22" s="14"/>
      <c r="L22" s="14"/>
      <c r="M22" s="14"/>
      <c r="N22" s="14"/>
      <c r="O22" s="14"/>
      <c r="P22" s="15"/>
      <c r="Q22" s="15"/>
    </row>
    <row r="23" ht="19.5" customHeight="1">
      <c r="B23" s="2" t="s">
        <v>49</v>
      </c>
      <c r="C23" s="2">
        <v>300.0</v>
      </c>
      <c r="D23" s="2">
        <v>4.0</v>
      </c>
      <c r="E23" s="2">
        <v>1200.0</v>
      </c>
      <c r="F23" s="3">
        <v>45342.0</v>
      </c>
      <c r="G23" s="4" t="s">
        <v>8</v>
      </c>
      <c r="N23" s="10"/>
    </row>
    <row r="24" ht="18.0" customHeight="1">
      <c r="B24" s="2" t="s">
        <v>50</v>
      </c>
      <c r="C24" s="2">
        <v>1700.0</v>
      </c>
      <c r="D24" s="2">
        <v>1.0</v>
      </c>
      <c r="E24" s="2">
        <v>1700.0</v>
      </c>
      <c r="F24" s="3">
        <v>45359.0</v>
      </c>
      <c r="G24" s="4" t="s">
        <v>14</v>
      </c>
      <c r="N24" s="10"/>
    </row>
    <row r="25" ht="20.25" customHeight="1">
      <c r="B25" s="2" t="s">
        <v>51</v>
      </c>
      <c r="C25" s="2">
        <v>8000.0</v>
      </c>
      <c r="D25" s="2">
        <v>1.0</v>
      </c>
      <c r="E25" s="2">
        <v>8000.0</v>
      </c>
      <c r="F25" s="3">
        <v>45327.0</v>
      </c>
      <c r="G25" s="4" t="s">
        <v>16</v>
      </c>
      <c r="J25" s="16" t="s">
        <v>52</v>
      </c>
      <c r="K25" s="16" t="str">
        <f>FORMULATEXT(J26)</f>
        <v>=filter(B2:G44,C2:C44&gt;10000)</v>
      </c>
      <c r="L25" s="17"/>
      <c r="M25" s="17"/>
      <c r="N25" s="17"/>
      <c r="O25" s="15"/>
      <c r="P25" s="15"/>
    </row>
    <row r="26" ht="16.5" customHeight="1">
      <c r="B26" s="2" t="s">
        <v>53</v>
      </c>
      <c r="C26" s="2">
        <v>700.0</v>
      </c>
      <c r="D26" s="2">
        <v>2.0</v>
      </c>
      <c r="E26" s="2">
        <v>1400.0</v>
      </c>
      <c r="F26" s="3">
        <v>45312.0</v>
      </c>
      <c r="G26" s="4" t="s">
        <v>12</v>
      </c>
      <c r="J26" s="4" t="str">
        <f>IFERROR(__xludf.DUMMYFUNCTION("filter(B2:G44,C2:C44&gt;10000)"),"Ergonomic Chair")</f>
        <v>Ergonomic Chair</v>
      </c>
      <c r="K26" s="4">
        <f>IFERROR(__xludf.DUMMYFUNCTION("""COMPUTED_VALUE"""),12500.0)</f>
        <v>12500</v>
      </c>
      <c r="L26" s="4">
        <f>IFERROR(__xludf.DUMMYFUNCTION("""COMPUTED_VALUE"""),1.0)</f>
        <v>1</v>
      </c>
      <c r="M26" s="4">
        <f>IFERROR(__xludf.DUMMYFUNCTION("""COMPUTED_VALUE"""),12500.0)</f>
        <v>12500</v>
      </c>
      <c r="N26" s="10">
        <f>IFERROR(__xludf.DUMMYFUNCTION("""COMPUTED_VALUE"""),45391.0)</f>
        <v>45391</v>
      </c>
      <c r="O26" s="4" t="str">
        <f>IFERROR(__xludf.DUMMYFUNCTION("""COMPUTED_VALUE"""),"Mumbai")</f>
        <v>Mumbai</v>
      </c>
    </row>
    <row r="27" ht="17.25" customHeight="1">
      <c r="B27" s="2" t="s">
        <v>54</v>
      </c>
      <c r="C27" s="2">
        <v>2200.0</v>
      </c>
      <c r="D27" s="2">
        <v>2.0</v>
      </c>
      <c r="E27" s="2">
        <v>4400.0</v>
      </c>
      <c r="F27" s="3">
        <v>45365.0</v>
      </c>
      <c r="G27" s="4" t="s">
        <v>12</v>
      </c>
      <c r="J27" s="4" t="str">
        <f>IFERROR(__xludf.DUMMYFUNCTION("""COMPUTED_VALUE"""),"VR Headset")</f>
        <v>VR Headset</v>
      </c>
      <c r="K27" s="4">
        <f>IFERROR(__xludf.DUMMYFUNCTION("""COMPUTED_VALUE"""),16000.0)</f>
        <v>16000</v>
      </c>
      <c r="L27" s="4">
        <f>IFERROR(__xludf.DUMMYFUNCTION("""COMPUTED_VALUE"""),1.0)</f>
        <v>1</v>
      </c>
      <c r="M27" s="4">
        <f>IFERROR(__xludf.DUMMYFUNCTION("""COMPUTED_VALUE"""),16000.0)</f>
        <v>16000</v>
      </c>
      <c r="N27" s="10">
        <f>IFERROR(__xludf.DUMMYFUNCTION("""COMPUTED_VALUE"""),45350.0)</f>
        <v>45350</v>
      </c>
      <c r="O27" s="4" t="str">
        <f>IFERROR(__xludf.DUMMYFUNCTION("""COMPUTED_VALUE"""),"Delhi")</f>
        <v>Delhi</v>
      </c>
    </row>
    <row r="28" ht="15.0" customHeight="1">
      <c r="B28" s="2" t="s">
        <v>56</v>
      </c>
      <c r="C28" s="2">
        <v>16000.0</v>
      </c>
      <c r="D28" s="2">
        <v>1.0</v>
      </c>
      <c r="E28" s="2">
        <v>16000.0</v>
      </c>
      <c r="F28" s="3">
        <v>45350.0</v>
      </c>
      <c r="G28" s="4" t="s">
        <v>8</v>
      </c>
      <c r="J28" s="15" t="str">
        <f>IFERROR(__xludf.DUMMYFUNCTION("""COMPUTED_VALUE"""),"E-Book Reader")</f>
        <v>E-Book Reader</v>
      </c>
      <c r="K28" s="15">
        <f>IFERROR(__xludf.DUMMYFUNCTION("""COMPUTED_VALUE"""),11000.0)</f>
        <v>11000</v>
      </c>
      <c r="L28" s="15">
        <f>IFERROR(__xludf.DUMMYFUNCTION("""COMPUTED_VALUE"""),1.0)</f>
        <v>1</v>
      </c>
      <c r="M28" s="15">
        <f>IFERROR(__xludf.DUMMYFUNCTION("""COMPUTED_VALUE"""),11000.0)</f>
        <v>11000</v>
      </c>
      <c r="N28" s="10">
        <f>IFERROR(__xludf.DUMMYFUNCTION("""COMPUTED_VALUE"""),45331.0)</f>
        <v>45331</v>
      </c>
      <c r="O28" s="15" t="str">
        <f>IFERROR(__xludf.DUMMYFUNCTION("""COMPUTED_VALUE"""),"Mumbai")</f>
        <v>Mumbai</v>
      </c>
      <c r="P28" s="15"/>
      <c r="Q28" s="15"/>
      <c r="R28" s="15"/>
    </row>
    <row r="29" ht="18.0" customHeight="1">
      <c r="B29" s="2" t="s">
        <v>57</v>
      </c>
      <c r="C29" s="2">
        <v>600.0</v>
      </c>
      <c r="D29" s="2">
        <v>3.0</v>
      </c>
      <c r="E29" s="2">
        <v>1800.0</v>
      </c>
      <c r="F29" s="3">
        <v>45298.0</v>
      </c>
      <c r="G29" s="4" t="s">
        <v>14</v>
      </c>
      <c r="J29" s="4" t="str">
        <f>IFERROR(__xludf.DUMMYFUNCTION("""COMPUTED_VALUE"""),"Wireless Printer")</f>
        <v>Wireless Printer</v>
      </c>
      <c r="K29" s="4">
        <f>IFERROR(__xludf.DUMMYFUNCTION("""COMPUTED_VALUE"""),15000.0)</f>
        <v>15000</v>
      </c>
      <c r="L29" s="4">
        <f>IFERROR(__xludf.DUMMYFUNCTION("""COMPUTED_VALUE"""),1.0)</f>
        <v>1</v>
      </c>
      <c r="M29" s="4">
        <f>IFERROR(__xludf.DUMMYFUNCTION("""COMPUTED_VALUE"""),15000.0)</f>
        <v>15000</v>
      </c>
      <c r="N29" s="10">
        <f>IFERROR(__xludf.DUMMYFUNCTION("""COMPUTED_VALUE"""),45307.0)</f>
        <v>45307</v>
      </c>
      <c r="O29" s="4" t="str">
        <f>IFERROR(__xludf.DUMMYFUNCTION("""COMPUTED_VALUE"""),"Noida")</f>
        <v>Noida</v>
      </c>
    </row>
    <row r="30" ht="18.0" customHeight="1">
      <c r="B30" s="2" t="s">
        <v>58</v>
      </c>
      <c r="C30" s="2">
        <v>5500.0</v>
      </c>
      <c r="D30" s="2">
        <v>1.0</v>
      </c>
      <c r="E30" s="2">
        <v>5500.0</v>
      </c>
      <c r="F30" s="3">
        <v>45384.0</v>
      </c>
      <c r="G30" s="4" t="s">
        <v>12</v>
      </c>
      <c r="J30" s="4" t="str">
        <f>IFERROR(__xludf.DUMMYFUNCTION("""COMPUTED_VALUE"""),"Robot Vacuum Cleaner")</f>
        <v>Robot Vacuum Cleaner</v>
      </c>
      <c r="K30" s="4">
        <f>IFERROR(__xludf.DUMMYFUNCTION("""COMPUTED_VALUE"""),20000.0)</f>
        <v>20000</v>
      </c>
      <c r="L30" s="4">
        <f>IFERROR(__xludf.DUMMYFUNCTION("""COMPUTED_VALUE"""),1.0)</f>
        <v>1</v>
      </c>
      <c r="M30" s="4">
        <f>IFERROR(__xludf.DUMMYFUNCTION("""COMPUTED_VALUE"""),20000.0)</f>
        <v>20000</v>
      </c>
      <c r="N30" s="10">
        <f>IFERROR(__xludf.DUMMYFUNCTION("""COMPUTED_VALUE"""),45379.0)</f>
        <v>45379</v>
      </c>
      <c r="O30" s="4" t="str">
        <f>IFERROR(__xludf.DUMMYFUNCTION("""COMPUTED_VALUE"""),"Delhi")</f>
        <v>Delhi</v>
      </c>
    </row>
    <row r="31" ht="18.75" customHeight="1">
      <c r="B31" s="2" t="s">
        <v>59</v>
      </c>
      <c r="C31" s="2">
        <v>11000.0</v>
      </c>
      <c r="D31" s="2">
        <v>1.0</v>
      </c>
      <c r="E31" s="2">
        <v>11000.0</v>
      </c>
      <c r="F31" s="3">
        <v>45331.0</v>
      </c>
      <c r="G31" s="4" t="s">
        <v>12</v>
      </c>
    </row>
    <row r="32" ht="18.0" customHeight="1">
      <c r="B32" s="2" t="s">
        <v>60</v>
      </c>
      <c r="C32" s="2">
        <v>9000.0</v>
      </c>
      <c r="D32" s="2">
        <v>1.0</v>
      </c>
      <c r="E32" s="2">
        <v>9000.0</v>
      </c>
      <c r="F32" s="3">
        <v>45375.0</v>
      </c>
      <c r="G32" s="4" t="s">
        <v>8</v>
      </c>
      <c r="K32" s="15"/>
      <c r="L32" s="15"/>
      <c r="M32" s="15"/>
      <c r="N32" s="15"/>
    </row>
    <row r="33" ht="18.75" customHeight="1">
      <c r="B33" s="2" t="s">
        <v>61</v>
      </c>
      <c r="C33" s="2">
        <v>3200.0</v>
      </c>
      <c r="D33" s="2">
        <v>2.0</v>
      </c>
      <c r="E33" s="2">
        <v>6400.0</v>
      </c>
      <c r="F33" s="3">
        <v>45310.0</v>
      </c>
      <c r="G33" s="4" t="s">
        <v>16</v>
      </c>
      <c r="J33" s="16" t="s">
        <v>63</v>
      </c>
      <c r="K33" s="19" t="str">
        <f>FORMULATEXT(J34)</f>
        <v>=Filter(B2:G44, C2:C44&gt;500,D2:D44&gt;=2)</v>
      </c>
      <c r="L33" s="6"/>
      <c r="M33" s="6"/>
      <c r="N33" s="6"/>
      <c r="O33" s="7"/>
    </row>
    <row r="34" ht="20.25" customHeight="1">
      <c r="B34" s="2" t="s">
        <v>55</v>
      </c>
      <c r="C34" s="2">
        <v>800.0</v>
      </c>
      <c r="D34" s="2">
        <v>2.0</v>
      </c>
      <c r="E34" s="2">
        <v>1600.0</v>
      </c>
      <c r="F34" s="3">
        <v>45344.0</v>
      </c>
      <c r="G34" s="4" t="s">
        <v>14</v>
      </c>
      <c r="J34" s="4" t="str">
        <f>IFERROR(__xludf.DUMMYFUNCTION("Filter(B2:G44, C2:C44&gt;500,D2:D44&gt;=2)"),"Gaming Headset")</f>
        <v>Gaming Headset</v>
      </c>
      <c r="K34" s="4">
        <f>IFERROR(__xludf.DUMMYFUNCTION("""COMPUTED_VALUE"""),1800.0)</f>
        <v>1800</v>
      </c>
      <c r="L34" s="4">
        <f>IFERROR(__xludf.DUMMYFUNCTION("""COMPUTED_VALUE"""),2.0)</f>
        <v>2</v>
      </c>
      <c r="M34" s="4">
        <f>IFERROR(__xludf.DUMMYFUNCTION("""COMPUTED_VALUE"""),3600.0)</f>
        <v>3600</v>
      </c>
      <c r="N34" s="18">
        <f>IFERROR(__xludf.DUMMYFUNCTION("""COMPUTED_VALUE"""),45313.0)</f>
        <v>45313</v>
      </c>
      <c r="O34" s="4" t="str">
        <f>IFERROR(__xludf.DUMMYFUNCTION("""COMPUTED_VALUE"""),"Pune")</f>
        <v>Pune</v>
      </c>
    </row>
    <row r="35" ht="20.25" customHeight="1">
      <c r="B35" s="2" t="s">
        <v>62</v>
      </c>
      <c r="C35" s="2">
        <v>2700.0</v>
      </c>
      <c r="D35" s="2">
        <v>1.0</v>
      </c>
      <c r="E35" s="2">
        <v>2700.0</v>
      </c>
      <c r="F35" s="3">
        <v>45354.0</v>
      </c>
      <c r="G35" s="4" t="s">
        <v>16</v>
      </c>
      <c r="J35" s="4" t="str">
        <f>IFERROR(__xludf.DUMMYFUNCTION("""COMPUTED_VALUE"""),"USB Flash Drive 32GB")</f>
        <v>USB Flash Drive 32GB</v>
      </c>
      <c r="K35" s="4">
        <f>IFERROR(__xludf.DUMMYFUNCTION("""COMPUTED_VALUE"""),600.0)</f>
        <v>600</v>
      </c>
      <c r="L35" s="4">
        <f>IFERROR(__xludf.DUMMYFUNCTION("""COMPUTED_VALUE"""),3.0)</f>
        <v>3</v>
      </c>
      <c r="M35" s="4">
        <f>IFERROR(__xludf.DUMMYFUNCTION("""COMPUTED_VALUE"""),1800.0)</f>
        <v>1800</v>
      </c>
      <c r="N35" s="18">
        <f>IFERROR(__xludf.DUMMYFUNCTION("""COMPUTED_VALUE"""),45353.0)</f>
        <v>45353</v>
      </c>
      <c r="O35" s="4" t="str">
        <f>IFERROR(__xludf.DUMMYFUNCTION("""COMPUTED_VALUE"""),"Noida")</f>
        <v>Noida</v>
      </c>
    </row>
    <row r="36" ht="18.75" customHeight="1">
      <c r="B36" s="2" t="s">
        <v>64</v>
      </c>
      <c r="C36" s="2">
        <v>15000.0</v>
      </c>
      <c r="D36" s="2">
        <v>1.0</v>
      </c>
      <c r="E36" s="2">
        <v>15000.0</v>
      </c>
      <c r="F36" s="3">
        <v>45307.0</v>
      </c>
      <c r="G36" s="4" t="s">
        <v>16</v>
      </c>
      <c r="J36" s="4" t="str">
        <f>IFERROR(__xludf.DUMMYFUNCTION("""COMPUTED_VALUE"""),"Bluetooth Speaker")</f>
        <v>Bluetooth Speaker</v>
      </c>
      <c r="K36" s="4">
        <f>IFERROR(__xludf.DUMMYFUNCTION("""COMPUTED_VALUE"""),2000.0)</f>
        <v>2000</v>
      </c>
      <c r="L36" s="4">
        <f>IFERROR(__xludf.DUMMYFUNCTION("""COMPUTED_VALUE"""),2.0)</f>
        <v>2</v>
      </c>
      <c r="M36" s="4">
        <f>IFERROR(__xludf.DUMMYFUNCTION("""COMPUTED_VALUE"""),4000.0)</f>
        <v>4000</v>
      </c>
      <c r="N36" s="18">
        <f>IFERROR(__xludf.DUMMYFUNCTION("""COMPUTED_VALUE"""),45299.0)</f>
        <v>45299</v>
      </c>
      <c r="O36" s="4" t="str">
        <f>IFERROR(__xludf.DUMMYFUNCTION("""COMPUTED_VALUE"""),"Noida")</f>
        <v>Noida</v>
      </c>
    </row>
    <row r="37" ht="18.0" customHeight="1">
      <c r="B37" s="2" t="s">
        <v>65</v>
      </c>
      <c r="C37" s="2">
        <v>8500.0</v>
      </c>
      <c r="D37" s="2">
        <v>1.0</v>
      </c>
      <c r="E37" s="2">
        <v>8500.0</v>
      </c>
      <c r="F37" s="3">
        <v>45336.0</v>
      </c>
      <c r="G37" s="4" t="s">
        <v>16</v>
      </c>
      <c r="J37" s="4" t="str">
        <f>IFERROR(__xludf.DUMMYFUNCTION("""COMPUTED_VALUE"""),"Power Bank 10000mAh")</f>
        <v>Power Bank 10000mAh</v>
      </c>
      <c r="K37" s="4">
        <f>IFERROR(__xludf.DUMMYFUNCTION("""COMPUTED_VALUE"""),1200.0)</f>
        <v>1200</v>
      </c>
      <c r="L37" s="4">
        <f>IFERROR(__xludf.DUMMYFUNCTION("""COMPUTED_VALUE"""),2.0)</f>
        <v>2</v>
      </c>
      <c r="M37" s="4">
        <f>IFERROR(__xludf.DUMMYFUNCTION("""COMPUTED_VALUE"""),2400.0)</f>
        <v>2400</v>
      </c>
      <c r="N37" s="18">
        <f>IFERROR(__xludf.DUMMYFUNCTION("""COMPUTED_VALUE"""),45349.0)</f>
        <v>45349</v>
      </c>
      <c r="O37" s="4" t="str">
        <f>IFERROR(__xludf.DUMMYFUNCTION("""COMPUTED_VALUE"""),"Pune")</f>
        <v>Pune</v>
      </c>
    </row>
    <row r="38" ht="19.5" customHeight="1">
      <c r="B38" s="2" t="s">
        <v>66</v>
      </c>
      <c r="C38" s="2">
        <v>6800.0</v>
      </c>
      <c r="D38" s="2">
        <v>1.0</v>
      </c>
      <c r="E38" s="2">
        <v>6800.0</v>
      </c>
      <c r="F38" s="3">
        <v>45361.0</v>
      </c>
      <c r="G38" s="4" t="s">
        <v>8</v>
      </c>
      <c r="J38" s="4" t="str">
        <f>IFERROR(__xludf.DUMMYFUNCTION("""COMPUTED_VALUE"""),"Wireless Earbuds")</f>
        <v>Wireless Earbuds</v>
      </c>
      <c r="K38" s="4">
        <f>IFERROR(__xludf.DUMMYFUNCTION("""COMPUTED_VALUE"""),2500.0)</f>
        <v>2500</v>
      </c>
      <c r="L38" s="4">
        <f>IFERROR(__xludf.DUMMYFUNCTION("""COMPUTED_VALUE"""),2.0)</f>
        <v>2</v>
      </c>
      <c r="M38" s="4">
        <f>IFERROR(__xludf.DUMMYFUNCTION("""COMPUTED_VALUE"""),5000.0)</f>
        <v>5000</v>
      </c>
      <c r="N38" s="18">
        <f>IFERROR(__xludf.DUMMYFUNCTION("""COMPUTED_VALUE"""),45371.0)</f>
        <v>45371</v>
      </c>
      <c r="O38" s="4" t="str">
        <f>IFERROR(__xludf.DUMMYFUNCTION("""COMPUTED_VALUE"""),"Noida")</f>
        <v>Noida</v>
      </c>
    </row>
    <row r="39" ht="19.5" customHeight="1">
      <c r="B39" s="2" t="s">
        <v>68</v>
      </c>
      <c r="C39" s="2">
        <v>2000.0</v>
      </c>
      <c r="D39" s="2">
        <v>2.0</v>
      </c>
      <c r="E39" s="2">
        <v>4000.0</v>
      </c>
      <c r="F39" s="3">
        <v>45320.0</v>
      </c>
      <c r="G39" s="4" t="s">
        <v>12</v>
      </c>
      <c r="J39" s="4" t="str">
        <f>IFERROR(__xludf.DUMMYFUNCTION("""COMPUTED_VALUE"""),"LED Desk Lamp")</f>
        <v>LED Desk Lamp</v>
      </c>
      <c r="K39" s="4">
        <f>IFERROR(__xludf.DUMMYFUNCTION("""COMPUTED_VALUE"""),1200.0)</f>
        <v>1200</v>
      </c>
      <c r="L39" s="4">
        <f>IFERROR(__xludf.DUMMYFUNCTION("""COMPUTED_VALUE"""),2.0)</f>
        <v>2</v>
      </c>
      <c r="M39" s="4">
        <f>IFERROR(__xludf.DUMMYFUNCTION("""COMPUTED_VALUE"""),2400.0)</f>
        <v>2400</v>
      </c>
      <c r="N39" s="18">
        <f>IFERROR(__xludf.DUMMYFUNCTION("""COMPUTED_VALUE"""),45305.0)</f>
        <v>45305</v>
      </c>
      <c r="O39" s="4" t="str">
        <f>IFERROR(__xludf.DUMMYFUNCTION("""COMPUTED_VALUE"""),"Delhi")</f>
        <v>Delhi</v>
      </c>
    </row>
    <row r="40" ht="21.0" customHeight="1">
      <c r="B40" s="2" t="s">
        <v>69</v>
      </c>
      <c r="C40" s="2">
        <v>5600.0</v>
      </c>
      <c r="D40" s="2">
        <v>1.0</v>
      </c>
      <c r="E40" s="2">
        <v>5600.0</v>
      </c>
      <c r="F40" s="3">
        <v>45389.0</v>
      </c>
      <c r="G40" s="4" t="s">
        <v>8</v>
      </c>
      <c r="J40" s="4" t="str">
        <f>IFERROR(__xludf.DUMMYFUNCTION("""COMPUTED_VALUE"""),"USB-C Hub")</f>
        <v>USB-C Hub</v>
      </c>
      <c r="K40" s="4">
        <f>IFERROR(__xludf.DUMMYFUNCTION("""COMPUTED_VALUE"""),1500.0)</f>
        <v>1500</v>
      </c>
      <c r="L40" s="4">
        <f>IFERROR(__xludf.DUMMYFUNCTION("""COMPUTED_VALUE"""),2.0)</f>
        <v>2</v>
      </c>
      <c r="M40" s="4">
        <f>IFERROR(__xludf.DUMMYFUNCTION("""COMPUTED_VALUE"""),3000.0)</f>
        <v>3000</v>
      </c>
      <c r="N40" s="18">
        <f>IFERROR(__xludf.DUMMYFUNCTION("""COMPUTED_VALUE"""),45347.0)</f>
        <v>45347</v>
      </c>
      <c r="O40" s="4" t="str">
        <f>IFERROR(__xludf.DUMMYFUNCTION("""COMPUTED_VALUE"""),"Mumbai")</f>
        <v>Mumbai</v>
      </c>
    </row>
    <row r="41" ht="19.5" customHeight="1">
      <c r="B41" s="2" t="s">
        <v>67</v>
      </c>
      <c r="C41" s="2">
        <v>3800.0</v>
      </c>
      <c r="D41" s="2">
        <v>1.0</v>
      </c>
      <c r="E41" s="2">
        <v>3800.0</v>
      </c>
      <c r="F41" s="3">
        <v>45328.0</v>
      </c>
      <c r="G41" s="4" t="s">
        <v>8</v>
      </c>
      <c r="J41" s="4" t="str">
        <f>IFERROR(__xludf.DUMMYFUNCTION("""COMPUTED_VALUE"""),"Smart Bulb")</f>
        <v>Smart Bulb</v>
      </c>
      <c r="K41" s="4">
        <f>IFERROR(__xludf.DUMMYFUNCTION("""COMPUTED_VALUE"""),900.0)</f>
        <v>900</v>
      </c>
      <c r="L41" s="4">
        <f>IFERROR(__xludf.DUMMYFUNCTION("""COMPUTED_VALUE"""),3.0)</f>
        <v>3</v>
      </c>
      <c r="M41" s="4">
        <f>IFERROR(__xludf.DUMMYFUNCTION("""COMPUTED_VALUE"""),2700.0)</f>
        <v>2700</v>
      </c>
      <c r="N41" s="18">
        <f>IFERROR(__xludf.DUMMYFUNCTION("""COMPUTED_VALUE"""),45317.0)</f>
        <v>45317</v>
      </c>
      <c r="O41" s="4" t="str">
        <f>IFERROR(__xludf.DUMMYFUNCTION("""COMPUTED_VALUE"""),"Mumbai")</f>
        <v>Mumbai</v>
      </c>
    </row>
    <row r="42" ht="18.75" customHeight="1">
      <c r="B42" s="2" t="s">
        <v>70</v>
      </c>
      <c r="C42" s="2">
        <v>20000.0</v>
      </c>
      <c r="D42" s="2">
        <v>1.0</v>
      </c>
      <c r="E42" s="2">
        <v>20000.0</v>
      </c>
      <c r="F42" s="3">
        <v>45379.0</v>
      </c>
      <c r="G42" s="4" t="s">
        <v>8</v>
      </c>
      <c r="J42" s="4" t="str">
        <f>IFERROR(__xludf.DUMMYFUNCTION("""COMPUTED_VALUE"""),"HDMI Cable 2m")</f>
        <v>HDMI Cable 2m</v>
      </c>
      <c r="K42" s="4">
        <f>IFERROR(__xludf.DUMMYFUNCTION("""COMPUTED_VALUE"""),700.0)</f>
        <v>700</v>
      </c>
      <c r="L42" s="4">
        <f>IFERROR(__xludf.DUMMYFUNCTION("""COMPUTED_VALUE"""),2.0)</f>
        <v>2</v>
      </c>
      <c r="M42" s="4">
        <f>IFERROR(__xludf.DUMMYFUNCTION("""COMPUTED_VALUE"""),1400.0)</f>
        <v>1400</v>
      </c>
      <c r="N42" s="18">
        <f>IFERROR(__xludf.DUMMYFUNCTION("""COMPUTED_VALUE"""),45312.0)</f>
        <v>45312</v>
      </c>
      <c r="O42" s="4" t="str">
        <f>IFERROR(__xludf.DUMMYFUNCTION("""COMPUTED_VALUE"""),"Mumbai")</f>
        <v>Mumbai</v>
      </c>
    </row>
    <row r="43" ht="17.25" customHeight="1">
      <c r="B43" s="2" t="s">
        <v>71</v>
      </c>
      <c r="C43" s="2">
        <v>7000.0</v>
      </c>
      <c r="D43" s="2">
        <v>1.0</v>
      </c>
      <c r="E43" s="2">
        <v>7000.0</v>
      </c>
      <c r="F43" s="3">
        <v>45300.0</v>
      </c>
      <c r="G43" s="4" t="s">
        <v>12</v>
      </c>
      <c r="J43" s="4" t="str">
        <f>IFERROR(__xludf.DUMMYFUNCTION("""COMPUTED_VALUE"""),"Wireless Keyboard")</f>
        <v>Wireless Keyboard</v>
      </c>
      <c r="K43" s="4">
        <f>IFERROR(__xludf.DUMMYFUNCTION("""COMPUTED_VALUE"""),2200.0)</f>
        <v>2200</v>
      </c>
      <c r="L43" s="4">
        <f>IFERROR(__xludf.DUMMYFUNCTION("""COMPUTED_VALUE"""),2.0)</f>
        <v>2</v>
      </c>
      <c r="M43" s="4">
        <f>IFERROR(__xludf.DUMMYFUNCTION("""COMPUTED_VALUE"""),4400.0)</f>
        <v>4400</v>
      </c>
      <c r="N43" s="18">
        <f>IFERROR(__xludf.DUMMYFUNCTION("""COMPUTED_VALUE"""),45365.0)</f>
        <v>45365</v>
      </c>
      <c r="O43" s="4" t="str">
        <f>IFERROR(__xludf.DUMMYFUNCTION("""COMPUTED_VALUE"""),"Mumbai")</f>
        <v>Mumbai</v>
      </c>
    </row>
    <row r="44" ht="18.75" customHeight="1">
      <c r="B44" s="2" t="s">
        <v>72</v>
      </c>
      <c r="C44" s="2">
        <v>6200.0</v>
      </c>
      <c r="D44" s="2">
        <v>1.0</v>
      </c>
      <c r="E44" s="2">
        <v>6200.0</v>
      </c>
      <c r="F44" s="3">
        <v>45368.0</v>
      </c>
      <c r="G44" s="4" t="s">
        <v>14</v>
      </c>
      <c r="J44" s="4" t="str">
        <f>IFERROR(__xludf.DUMMYFUNCTION("""COMPUTED_VALUE"""),"Noise Reduction Earplugs")</f>
        <v>Noise Reduction Earplugs</v>
      </c>
      <c r="K44" s="4">
        <f>IFERROR(__xludf.DUMMYFUNCTION("""COMPUTED_VALUE"""),600.0)</f>
        <v>600</v>
      </c>
      <c r="L44" s="4">
        <f>IFERROR(__xludf.DUMMYFUNCTION("""COMPUTED_VALUE"""),3.0)</f>
        <v>3</v>
      </c>
      <c r="M44" s="4">
        <f>IFERROR(__xludf.DUMMYFUNCTION("""COMPUTED_VALUE"""),1800.0)</f>
        <v>1800</v>
      </c>
      <c r="N44" s="18">
        <f>IFERROR(__xludf.DUMMYFUNCTION("""COMPUTED_VALUE"""),45298.0)</f>
        <v>45298</v>
      </c>
      <c r="O44" s="4" t="str">
        <f>IFERROR(__xludf.DUMMYFUNCTION("""COMPUTED_VALUE"""),"Pune")</f>
        <v>Pune</v>
      </c>
    </row>
    <row r="45" ht="14.25" customHeight="1">
      <c r="J45" s="4" t="str">
        <f>IFERROR(__xludf.DUMMYFUNCTION("""COMPUTED_VALUE"""),"Fitness Tracker")</f>
        <v>Fitness Tracker</v>
      </c>
      <c r="K45" s="4">
        <f>IFERROR(__xludf.DUMMYFUNCTION("""COMPUTED_VALUE"""),3200.0)</f>
        <v>3200</v>
      </c>
      <c r="L45" s="4">
        <f>IFERROR(__xludf.DUMMYFUNCTION("""COMPUTED_VALUE"""),2.0)</f>
        <v>2</v>
      </c>
      <c r="M45" s="4">
        <f>IFERROR(__xludf.DUMMYFUNCTION("""COMPUTED_VALUE"""),6400.0)</f>
        <v>6400</v>
      </c>
      <c r="N45" s="18">
        <f>IFERROR(__xludf.DUMMYFUNCTION("""COMPUTED_VALUE"""),45310.0)</f>
        <v>45310</v>
      </c>
      <c r="O45" s="4" t="str">
        <f>IFERROR(__xludf.DUMMYFUNCTION("""COMPUTED_VALUE"""),"Noida")</f>
        <v>Noida</v>
      </c>
    </row>
    <row r="46" ht="14.25" customHeight="1">
      <c r="J46" s="4" t="str">
        <f>IFERROR(__xludf.DUMMYFUNCTION("""COMPUTED_VALUE"""),"Car Phone Mount")</f>
        <v>Car Phone Mount</v>
      </c>
      <c r="K46" s="4">
        <f>IFERROR(__xludf.DUMMYFUNCTION("""COMPUTED_VALUE"""),800.0)</f>
        <v>800</v>
      </c>
      <c r="L46" s="4">
        <f>IFERROR(__xludf.DUMMYFUNCTION("""COMPUTED_VALUE"""),2.0)</f>
        <v>2</v>
      </c>
      <c r="M46" s="4">
        <f>IFERROR(__xludf.DUMMYFUNCTION("""COMPUTED_VALUE"""),1600.0)</f>
        <v>1600</v>
      </c>
      <c r="N46" s="18">
        <f>IFERROR(__xludf.DUMMYFUNCTION("""COMPUTED_VALUE"""),45344.0)</f>
        <v>45344</v>
      </c>
      <c r="O46" s="4" t="str">
        <f>IFERROR(__xludf.DUMMYFUNCTION("""COMPUTED_VALUE"""),"Pune")</f>
        <v>Pune</v>
      </c>
    </row>
    <row r="47" ht="14.25" customHeight="1">
      <c r="J47" s="4" t="str">
        <f>IFERROR(__xludf.DUMMYFUNCTION("""COMPUTED_VALUE"""),"Wireless Charging Pad")</f>
        <v>Wireless Charging Pad</v>
      </c>
      <c r="K47" s="4">
        <f>IFERROR(__xludf.DUMMYFUNCTION("""COMPUTED_VALUE"""),2000.0)</f>
        <v>2000</v>
      </c>
      <c r="L47" s="4">
        <f>IFERROR(__xludf.DUMMYFUNCTION("""COMPUTED_VALUE"""),2.0)</f>
        <v>2</v>
      </c>
      <c r="M47" s="4">
        <f>IFERROR(__xludf.DUMMYFUNCTION("""COMPUTED_VALUE"""),4000.0)</f>
        <v>4000</v>
      </c>
      <c r="N47" s="18">
        <f>IFERROR(__xludf.DUMMYFUNCTION("""COMPUTED_VALUE"""),45320.0)</f>
        <v>45320</v>
      </c>
      <c r="O47" s="4" t="str">
        <f>IFERROR(__xludf.DUMMYFUNCTION("""COMPUTED_VALUE"""),"Mumbai")</f>
        <v>Mumbai</v>
      </c>
    </row>
    <row r="48" ht="14.25" customHeight="1"/>
    <row r="49" ht="14.25" customHeight="1"/>
    <row r="50" ht="14.25" customHeight="1"/>
    <row r="51" ht="14.25" customHeight="1">
      <c r="J51" s="17" t="s">
        <v>73</v>
      </c>
      <c r="K51" s="19" t="str">
        <f>FORMULATEXT(J52)</f>
        <v>=filter(B2:G44,G2:G44="Mumbai",month(F2:F44)=3)</v>
      </c>
      <c r="L51" s="6"/>
      <c r="M51" s="6"/>
      <c r="N51" s="6"/>
      <c r="O51" s="6"/>
      <c r="P51" s="7"/>
      <c r="R51" s="20" t="str">
        <f>FORMULATEXT(R52)</f>
        <v>=FILTER(B2:G44,G2:G44="Mumbai",F2:F44&gt;=Date(2024,3,1),F2:F44&lt;=Date(2024,3,31))</v>
      </c>
    </row>
    <row r="52" ht="14.25" customHeight="1">
      <c r="J52" s="4" t="str">
        <f>IFERROR(__xludf.DUMMYFUNCTION("filter(B2:G44,G2:G44=""Mumbai"",month(F2:F44)=3)"),"Webcam Full HD")</f>
        <v>Webcam Full HD</v>
      </c>
      <c r="K52" s="4">
        <f>IFERROR(__xludf.DUMMYFUNCTION("""COMPUTED_VALUE"""),3200.0)</f>
        <v>3200</v>
      </c>
      <c r="L52" s="4">
        <f>IFERROR(__xludf.DUMMYFUNCTION("""COMPUTED_VALUE"""),1.0)</f>
        <v>1</v>
      </c>
      <c r="M52" s="4">
        <f>IFERROR(__xludf.DUMMYFUNCTION("""COMPUTED_VALUE"""),3200.0)</f>
        <v>3200</v>
      </c>
      <c r="N52" s="10">
        <f>IFERROR(__xludf.DUMMYFUNCTION("""COMPUTED_VALUE"""),45380.0)</f>
        <v>45380</v>
      </c>
      <c r="O52" s="4" t="str">
        <f>IFERROR(__xludf.DUMMYFUNCTION("""COMPUTED_VALUE"""),"Mumbai")</f>
        <v>Mumbai</v>
      </c>
      <c r="R52" s="4" t="str">
        <f>IFERROR(__xludf.DUMMYFUNCTION("FILTER(B2:G44,G2:G44=""Mumbai"",F2:F44&gt;=Date(2024,3,1),F2:F44&lt;=Date(2024,3,31))"),"Webcam Full HD")</f>
        <v>Webcam Full HD</v>
      </c>
      <c r="S52" s="4">
        <f>IFERROR(__xludf.DUMMYFUNCTION("""COMPUTED_VALUE"""),3200.0)</f>
        <v>3200</v>
      </c>
      <c r="T52" s="4">
        <f>IFERROR(__xludf.DUMMYFUNCTION("""COMPUTED_VALUE"""),1.0)</f>
        <v>1</v>
      </c>
      <c r="U52" s="4">
        <f>IFERROR(__xludf.DUMMYFUNCTION("""COMPUTED_VALUE"""),3200.0)</f>
        <v>3200</v>
      </c>
      <c r="V52" s="18">
        <f>IFERROR(__xludf.DUMMYFUNCTION("""COMPUTED_VALUE"""),45380.0)</f>
        <v>45380</v>
      </c>
      <c r="W52" s="4" t="str">
        <f>IFERROR(__xludf.DUMMYFUNCTION("""COMPUTED_VALUE"""),"Mumbai")</f>
        <v>Mumbai</v>
      </c>
    </row>
    <row r="53" ht="14.25" customHeight="1">
      <c r="J53" s="4" t="str">
        <f>IFERROR(__xludf.DUMMYFUNCTION("""COMPUTED_VALUE"""),"Wireless Keyboard")</f>
        <v>Wireless Keyboard</v>
      </c>
      <c r="K53" s="4">
        <f>IFERROR(__xludf.DUMMYFUNCTION("""COMPUTED_VALUE"""),2200.0)</f>
        <v>2200</v>
      </c>
      <c r="L53" s="4">
        <f>IFERROR(__xludf.DUMMYFUNCTION("""COMPUTED_VALUE"""),2.0)</f>
        <v>2</v>
      </c>
      <c r="M53" s="4">
        <f>IFERROR(__xludf.DUMMYFUNCTION("""COMPUTED_VALUE"""),4400.0)</f>
        <v>4400</v>
      </c>
      <c r="N53" s="10">
        <f>IFERROR(__xludf.DUMMYFUNCTION("""COMPUTED_VALUE"""),45365.0)</f>
        <v>45365</v>
      </c>
      <c r="O53" s="4" t="str">
        <f>IFERROR(__xludf.DUMMYFUNCTION("""COMPUTED_VALUE"""),"Mumbai")</f>
        <v>Mumbai</v>
      </c>
      <c r="R53" s="4" t="str">
        <f>IFERROR(__xludf.DUMMYFUNCTION("""COMPUTED_VALUE"""),"Wireless Keyboard")</f>
        <v>Wireless Keyboard</v>
      </c>
      <c r="S53" s="4">
        <f>IFERROR(__xludf.DUMMYFUNCTION("""COMPUTED_VALUE"""),2200.0)</f>
        <v>2200</v>
      </c>
      <c r="T53" s="4">
        <f>IFERROR(__xludf.DUMMYFUNCTION("""COMPUTED_VALUE"""),2.0)</f>
        <v>2</v>
      </c>
      <c r="U53" s="4">
        <f>IFERROR(__xludf.DUMMYFUNCTION("""COMPUTED_VALUE"""),4400.0)</f>
        <v>4400</v>
      </c>
      <c r="V53" s="18">
        <f>IFERROR(__xludf.DUMMYFUNCTION("""COMPUTED_VALUE"""),45365.0)</f>
        <v>45365</v>
      </c>
      <c r="W53" s="4" t="str">
        <f>IFERROR(__xludf.DUMMYFUNCTION("""COMPUTED_VALUE"""),"Mumbai")</f>
        <v>Mumbai</v>
      </c>
    </row>
    <row r="54" ht="14.25" customHeight="1"/>
    <row r="55" ht="14.25" customHeight="1"/>
    <row r="56" ht="14.25" customHeight="1"/>
    <row r="57" ht="14.25" customHeight="1">
      <c r="J57" s="17" t="s">
        <v>74</v>
      </c>
      <c r="K57" s="19" t="str">
        <f>FORMULATEXT(J58)</f>
        <v>=filter(B2:G44, E2:E44&gt;3000,Month(F2:F44)=2)</v>
      </c>
      <c r="L57" s="6"/>
      <c r="M57" s="6"/>
      <c r="N57" s="6"/>
      <c r="O57" s="6"/>
      <c r="P57" s="7"/>
    </row>
    <row r="58" ht="14.25" customHeight="1">
      <c r="J58" s="4" t="str">
        <f>IFERROR(__xludf.DUMMYFUNCTION("filter(B2:G44, E2:E44&gt;3000,Month(F2:F44)=2)"),"Portable SSD 512GB")</f>
        <v>Portable SSD 512GB</v>
      </c>
      <c r="K58" s="4">
        <f>IFERROR(__xludf.DUMMYFUNCTION("""COMPUTED_VALUE"""),5800.0)</f>
        <v>5800</v>
      </c>
      <c r="L58" s="4">
        <f>IFERROR(__xludf.DUMMYFUNCTION("""COMPUTED_VALUE"""),1.0)</f>
        <v>1</v>
      </c>
      <c r="M58" s="4">
        <f>IFERROR(__xludf.DUMMYFUNCTION("""COMPUTED_VALUE"""),5800.0)</f>
        <v>5800</v>
      </c>
      <c r="N58" s="10">
        <f>IFERROR(__xludf.DUMMYFUNCTION("""COMPUTED_VALUE"""),45334.0)</f>
        <v>45334</v>
      </c>
      <c r="O58" s="4" t="str">
        <f>IFERROR(__xludf.DUMMYFUNCTION("""COMPUTED_VALUE"""),"Noida")</f>
        <v>Noida</v>
      </c>
    </row>
    <row r="59" ht="14.25" customHeight="1">
      <c r="J59" s="4" t="str">
        <f>IFERROR(__xludf.DUMMYFUNCTION("""COMPUTED_VALUE"""),"Noise Cancelling Headphones")</f>
        <v>Noise Cancelling Headphones</v>
      </c>
      <c r="K59" s="4">
        <f>IFERROR(__xludf.DUMMYFUNCTION("""COMPUTED_VALUE"""),8500.0)</f>
        <v>8500</v>
      </c>
      <c r="L59" s="4">
        <f>IFERROR(__xludf.DUMMYFUNCTION("""COMPUTED_VALUE"""),1.0)</f>
        <v>1</v>
      </c>
      <c r="M59" s="4">
        <f>IFERROR(__xludf.DUMMYFUNCTION("""COMPUTED_VALUE"""),8500.0)</f>
        <v>8500</v>
      </c>
      <c r="N59" s="10">
        <f>IFERROR(__xludf.DUMMYFUNCTION("""COMPUTED_VALUE"""),45339.0)</f>
        <v>45339</v>
      </c>
      <c r="O59" s="4" t="str">
        <f>IFERROR(__xludf.DUMMYFUNCTION("""COMPUTED_VALUE"""),"Mumbai")</f>
        <v>Mumbai</v>
      </c>
    </row>
    <row r="60" ht="14.25" customHeight="1">
      <c r="J60" s="4" t="str">
        <f>IFERROR(__xludf.DUMMYFUNCTION("""COMPUTED_VALUE"""),"Office Desk")</f>
        <v>Office Desk</v>
      </c>
      <c r="K60" s="4">
        <f>IFERROR(__xludf.DUMMYFUNCTION("""COMPUTED_VALUE"""),8000.0)</f>
        <v>8000</v>
      </c>
      <c r="L60" s="4">
        <f>IFERROR(__xludf.DUMMYFUNCTION("""COMPUTED_VALUE"""),1.0)</f>
        <v>1</v>
      </c>
      <c r="M60" s="4">
        <f>IFERROR(__xludf.DUMMYFUNCTION("""COMPUTED_VALUE"""),8000.0)</f>
        <v>8000</v>
      </c>
      <c r="N60" s="10">
        <f>IFERROR(__xludf.DUMMYFUNCTION("""COMPUTED_VALUE"""),45327.0)</f>
        <v>45327</v>
      </c>
      <c r="O60" s="4" t="str">
        <f>IFERROR(__xludf.DUMMYFUNCTION("""COMPUTED_VALUE"""),"Noida")</f>
        <v>Noida</v>
      </c>
    </row>
    <row r="61" ht="14.25" customHeight="1">
      <c r="J61" s="4" t="str">
        <f>IFERROR(__xludf.DUMMYFUNCTION("""COMPUTED_VALUE"""),"VR Headset")</f>
        <v>VR Headset</v>
      </c>
      <c r="K61" s="4">
        <f>IFERROR(__xludf.DUMMYFUNCTION("""COMPUTED_VALUE"""),16000.0)</f>
        <v>16000</v>
      </c>
      <c r="L61" s="4">
        <f>IFERROR(__xludf.DUMMYFUNCTION("""COMPUTED_VALUE"""),1.0)</f>
        <v>1</v>
      </c>
      <c r="M61" s="4">
        <f>IFERROR(__xludf.DUMMYFUNCTION("""COMPUTED_VALUE"""),16000.0)</f>
        <v>16000</v>
      </c>
      <c r="N61" s="10">
        <f>IFERROR(__xludf.DUMMYFUNCTION("""COMPUTED_VALUE"""),45350.0)</f>
        <v>45350</v>
      </c>
      <c r="O61" s="4" t="str">
        <f>IFERROR(__xludf.DUMMYFUNCTION("""COMPUTED_VALUE"""),"Delhi")</f>
        <v>Delhi</v>
      </c>
    </row>
    <row r="62" ht="14.25" customHeight="1">
      <c r="J62" s="4" t="str">
        <f>IFERROR(__xludf.DUMMYFUNCTION("""COMPUTED_VALUE"""),"E-Book Reader")</f>
        <v>E-Book Reader</v>
      </c>
      <c r="K62" s="4">
        <f>IFERROR(__xludf.DUMMYFUNCTION("""COMPUTED_VALUE"""),11000.0)</f>
        <v>11000</v>
      </c>
      <c r="L62" s="4">
        <f>IFERROR(__xludf.DUMMYFUNCTION("""COMPUTED_VALUE"""),1.0)</f>
        <v>1</v>
      </c>
      <c r="M62" s="4">
        <f>IFERROR(__xludf.DUMMYFUNCTION("""COMPUTED_VALUE"""),11000.0)</f>
        <v>11000</v>
      </c>
      <c r="N62" s="10">
        <f>IFERROR(__xludf.DUMMYFUNCTION("""COMPUTED_VALUE"""),45331.0)</f>
        <v>45331</v>
      </c>
      <c r="O62" s="4" t="str">
        <f>IFERROR(__xludf.DUMMYFUNCTION("""COMPUTED_VALUE"""),"Mumbai")</f>
        <v>Mumbai</v>
      </c>
    </row>
    <row r="63" ht="14.25" customHeight="1">
      <c r="J63" s="4" t="str">
        <f>IFERROR(__xludf.DUMMYFUNCTION("""COMPUTED_VALUE"""),"Smart Security Camera")</f>
        <v>Smart Security Camera</v>
      </c>
      <c r="K63" s="4">
        <f>IFERROR(__xludf.DUMMYFUNCTION("""COMPUTED_VALUE"""),8500.0)</f>
        <v>8500</v>
      </c>
      <c r="L63" s="4">
        <f>IFERROR(__xludf.DUMMYFUNCTION("""COMPUTED_VALUE"""),1.0)</f>
        <v>1</v>
      </c>
      <c r="M63" s="4">
        <f>IFERROR(__xludf.DUMMYFUNCTION("""COMPUTED_VALUE"""),8500.0)</f>
        <v>8500</v>
      </c>
      <c r="N63" s="10">
        <f>IFERROR(__xludf.DUMMYFUNCTION("""COMPUTED_VALUE"""),45336.0)</f>
        <v>45336</v>
      </c>
      <c r="O63" s="4" t="str">
        <f>IFERROR(__xludf.DUMMYFUNCTION("""COMPUTED_VALUE"""),"Noida")</f>
        <v>Noida</v>
      </c>
    </row>
    <row r="64" ht="14.25" customHeight="1">
      <c r="J64" s="4" t="str">
        <f>IFERROR(__xludf.DUMMYFUNCTION("""COMPUTED_VALUE"""),"External DVD Drive")</f>
        <v>External DVD Drive</v>
      </c>
      <c r="K64" s="4">
        <f>IFERROR(__xludf.DUMMYFUNCTION("""COMPUTED_VALUE"""),3800.0)</f>
        <v>3800</v>
      </c>
      <c r="L64" s="4">
        <f>IFERROR(__xludf.DUMMYFUNCTION("""COMPUTED_VALUE"""),1.0)</f>
        <v>1</v>
      </c>
      <c r="M64" s="4">
        <f>IFERROR(__xludf.DUMMYFUNCTION("""COMPUTED_VALUE"""),3800.0)</f>
        <v>3800</v>
      </c>
      <c r="N64" s="10">
        <f>IFERROR(__xludf.DUMMYFUNCTION("""COMPUTED_VALUE"""),45328.0)</f>
        <v>45328</v>
      </c>
      <c r="O64" s="4" t="str">
        <f>IFERROR(__xludf.DUMMYFUNCTION("""COMPUTED_VALUE"""),"Delhi")</f>
        <v>Delhi</v>
      </c>
    </row>
    <row r="65" ht="14.25" customHeight="1"/>
    <row r="66" ht="14.25" customHeight="1"/>
    <row r="67" ht="14.25" customHeight="1"/>
    <row r="68" ht="14.25" customHeight="1">
      <c r="J68" s="17" t="s">
        <v>75</v>
      </c>
      <c r="K68" s="21" t="str">
        <f>FORMULATEXT(J69)</f>
        <v>=Filter(B2:G44,F2:F44&gt;=Date(2024,1,10), F2:F44&lt;=Date(2024,1,25))</v>
      </c>
      <c r="L68" s="6"/>
      <c r="M68" s="6"/>
      <c r="N68" s="6"/>
      <c r="O68" s="6"/>
      <c r="P68" s="6"/>
      <c r="Q68" s="6"/>
      <c r="R68" s="7"/>
    </row>
    <row r="69" ht="14.25" customHeight="1">
      <c r="J69" s="4" t="str">
        <f>IFERROR(__xludf.DUMMYFUNCTION("Filter(B2:G44,F2:F44&gt;=Date(2024,1,10), F2:F44&lt;=Date(2024,1,25))"),"Gaming Headset")</f>
        <v>Gaming Headset</v>
      </c>
      <c r="K69" s="4">
        <f>IFERROR(__xludf.DUMMYFUNCTION("""COMPUTED_VALUE"""),1800.0)</f>
        <v>1800</v>
      </c>
      <c r="L69" s="4">
        <f>IFERROR(__xludf.DUMMYFUNCTION("""COMPUTED_VALUE"""),2.0)</f>
        <v>2</v>
      </c>
      <c r="M69" s="4">
        <f>IFERROR(__xludf.DUMMYFUNCTION("""COMPUTED_VALUE"""),3600.0)</f>
        <v>3600</v>
      </c>
      <c r="N69" s="10">
        <f>IFERROR(__xludf.DUMMYFUNCTION("""COMPUTED_VALUE"""),45313.0)</f>
        <v>45313</v>
      </c>
      <c r="O69" s="4" t="str">
        <f>IFERROR(__xludf.DUMMYFUNCTION("""COMPUTED_VALUE"""),"Pune")</f>
        <v>Pune</v>
      </c>
    </row>
    <row r="70" ht="14.25" customHeight="1">
      <c r="J70" s="4" t="str">
        <f>IFERROR(__xludf.DUMMYFUNCTION("""COMPUTED_VALUE"""),"LED Desk Lamp")</f>
        <v>LED Desk Lamp</v>
      </c>
      <c r="K70" s="4">
        <f>IFERROR(__xludf.DUMMYFUNCTION("""COMPUTED_VALUE"""),1200.0)</f>
        <v>1200</v>
      </c>
      <c r="L70" s="4">
        <f>IFERROR(__xludf.DUMMYFUNCTION("""COMPUTED_VALUE"""),2.0)</f>
        <v>2</v>
      </c>
      <c r="M70" s="4">
        <f>IFERROR(__xludf.DUMMYFUNCTION("""COMPUTED_VALUE"""),2400.0)</f>
        <v>2400</v>
      </c>
      <c r="N70" s="10">
        <f>IFERROR(__xludf.DUMMYFUNCTION("""COMPUTED_VALUE"""),45305.0)</f>
        <v>45305</v>
      </c>
      <c r="O70" s="4" t="str">
        <f>IFERROR(__xludf.DUMMYFUNCTION("""COMPUTED_VALUE"""),"Delhi")</f>
        <v>Delhi</v>
      </c>
    </row>
    <row r="71" ht="14.25" customHeight="1">
      <c r="J71" s="4" t="str">
        <f>IFERROR(__xludf.DUMMYFUNCTION("""COMPUTED_VALUE"""),"Monitor 24-inch")</f>
        <v>Monitor 24-inch</v>
      </c>
      <c r="K71" s="4">
        <f>IFERROR(__xludf.DUMMYFUNCTION("""COMPUTED_VALUE"""),9000.0)</f>
        <v>9000</v>
      </c>
      <c r="L71" s="4">
        <f>IFERROR(__xludf.DUMMYFUNCTION("""COMPUTED_VALUE"""),1.0)</f>
        <v>1</v>
      </c>
      <c r="M71" s="4">
        <f>IFERROR(__xludf.DUMMYFUNCTION("""COMPUTED_VALUE"""),9000.0)</f>
        <v>9000</v>
      </c>
      <c r="N71" s="10">
        <f>IFERROR(__xludf.DUMMYFUNCTION("""COMPUTED_VALUE"""),45302.0)</f>
        <v>45302</v>
      </c>
      <c r="O71" s="4" t="str">
        <f>IFERROR(__xludf.DUMMYFUNCTION("""COMPUTED_VALUE"""),"Pune")</f>
        <v>Pune</v>
      </c>
    </row>
    <row r="72" ht="14.25" customHeight="1">
      <c r="J72" s="4" t="str">
        <f>IFERROR(__xludf.DUMMYFUNCTION("""COMPUTED_VALUE"""),"HDMI Cable 2m")</f>
        <v>HDMI Cable 2m</v>
      </c>
      <c r="K72" s="4">
        <f>IFERROR(__xludf.DUMMYFUNCTION("""COMPUTED_VALUE"""),700.0)</f>
        <v>700</v>
      </c>
      <c r="L72" s="4">
        <f>IFERROR(__xludf.DUMMYFUNCTION("""COMPUTED_VALUE"""),2.0)</f>
        <v>2</v>
      </c>
      <c r="M72" s="4">
        <f>IFERROR(__xludf.DUMMYFUNCTION("""COMPUTED_VALUE"""),1400.0)</f>
        <v>1400</v>
      </c>
      <c r="N72" s="10">
        <f>IFERROR(__xludf.DUMMYFUNCTION("""COMPUTED_VALUE"""),45312.0)</f>
        <v>45312</v>
      </c>
      <c r="O72" s="4" t="str">
        <f>IFERROR(__xludf.DUMMYFUNCTION("""COMPUTED_VALUE"""),"Mumbai")</f>
        <v>Mumbai</v>
      </c>
    </row>
    <row r="73" ht="14.25" customHeight="1">
      <c r="J73" s="4" t="str">
        <f>IFERROR(__xludf.DUMMYFUNCTION("""COMPUTED_VALUE"""),"Fitness Tracker")</f>
        <v>Fitness Tracker</v>
      </c>
      <c r="K73" s="4">
        <f>IFERROR(__xludf.DUMMYFUNCTION("""COMPUTED_VALUE"""),3200.0)</f>
        <v>3200</v>
      </c>
      <c r="L73" s="4">
        <f>IFERROR(__xludf.DUMMYFUNCTION("""COMPUTED_VALUE"""),2.0)</f>
        <v>2</v>
      </c>
      <c r="M73" s="4">
        <f>IFERROR(__xludf.DUMMYFUNCTION("""COMPUTED_VALUE"""),6400.0)</f>
        <v>6400</v>
      </c>
      <c r="N73" s="10">
        <f>IFERROR(__xludf.DUMMYFUNCTION("""COMPUTED_VALUE"""),45310.0)</f>
        <v>45310</v>
      </c>
      <c r="O73" s="4" t="str">
        <f>IFERROR(__xludf.DUMMYFUNCTION("""COMPUTED_VALUE"""),"Noida")</f>
        <v>Noida</v>
      </c>
    </row>
    <row r="74" ht="14.25" customHeight="1">
      <c r="J74" s="4" t="str">
        <f>IFERROR(__xludf.DUMMYFUNCTION("""COMPUTED_VALUE"""),"Wireless Printer")</f>
        <v>Wireless Printer</v>
      </c>
      <c r="K74" s="4">
        <f>IFERROR(__xludf.DUMMYFUNCTION("""COMPUTED_VALUE"""),15000.0)</f>
        <v>15000</v>
      </c>
      <c r="L74" s="4">
        <f>IFERROR(__xludf.DUMMYFUNCTION("""COMPUTED_VALUE"""),1.0)</f>
        <v>1</v>
      </c>
      <c r="M74" s="4">
        <f>IFERROR(__xludf.DUMMYFUNCTION("""COMPUTED_VALUE"""),15000.0)</f>
        <v>15000</v>
      </c>
      <c r="N74" s="10">
        <f>IFERROR(__xludf.DUMMYFUNCTION("""COMPUTED_VALUE"""),45307.0)</f>
        <v>45307</v>
      </c>
      <c r="O74" s="4" t="str">
        <f>IFERROR(__xludf.DUMMYFUNCTION("""COMPUTED_VALUE"""),"Noida")</f>
        <v>Noida</v>
      </c>
    </row>
    <row r="75" ht="14.25" customHeight="1">
      <c r="N75" s="10"/>
    </row>
    <row r="76" ht="14.25" customHeight="1">
      <c r="N76" s="10"/>
    </row>
    <row r="77" ht="14.25" customHeight="1">
      <c r="N77" s="10"/>
    </row>
    <row r="78" ht="14.25" customHeight="1">
      <c r="J78" s="16" t="s">
        <v>76</v>
      </c>
      <c r="K78" s="19" t="str">
        <f>FORMULATEXT(J79)</f>
        <v>=Filter(B2:G44, D2:D44&gt;=2,D2:D44&lt;=3)</v>
      </c>
      <c r="L78" s="6"/>
      <c r="M78" s="6"/>
      <c r="N78" s="6"/>
      <c r="O78" s="7"/>
      <c r="Q78" s="20" t="str">
        <f>FORMULATEXT(Q79)</f>
        <v>=filter(B2:G44,(D2:D44=2)+(D2:D44=3))</v>
      </c>
    </row>
    <row r="79" ht="14.25" customHeight="1">
      <c r="J79" s="4" t="str">
        <f>IFERROR(__xludf.DUMMYFUNCTION("Filter(B2:G44, D2:D44&gt;=2,D2:D44&lt;=3)"),"Wireless Mouse")</f>
        <v>Wireless Mouse</v>
      </c>
      <c r="K79" s="4">
        <f>IFERROR(__xludf.DUMMYFUNCTION("""COMPUTED_VALUE"""),450.0)</f>
        <v>450</v>
      </c>
      <c r="L79" s="4">
        <f>IFERROR(__xludf.DUMMYFUNCTION("""COMPUTED_VALUE"""),2.0)</f>
        <v>2</v>
      </c>
      <c r="M79" s="4">
        <f>IFERROR(__xludf.DUMMYFUNCTION("""COMPUTED_VALUE"""),900.0)</f>
        <v>900</v>
      </c>
      <c r="N79" s="10">
        <f>IFERROR(__xludf.DUMMYFUNCTION("""COMPUTED_VALUE"""),45296.0)</f>
        <v>45296</v>
      </c>
      <c r="O79" s="4" t="str">
        <f>IFERROR(__xludf.DUMMYFUNCTION("""COMPUTED_VALUE"""),"Delhi")</f>
        <v>Delhi</v>
      </c>
      <c r="Q79" s="4" t="str">
        <f>IFERROR(__xludf.DUMMYFUNCTION("filter(B2:G44,(D2:D44=2)+(D2:D44=3))"),"Wireless Mouse")</f>
        <v>Wireless Mouse</v>
      </c>
      <c r="R79" s="4">
        <f>IFERROR(__xludf.DUMMYFUNCTION("""COMPUTED_VALUE"""),450.0)</f>
        <v>450</v>
      </c>
      <c r="S79" s="4">
        <f>IFERROR(__xludf.DUMMYFUNCTION("""COMPUTED_VALUE"""),2.0)</f>
        <v>2</v>
      </c>
      <c r="T79" s="4">
        <f>IFERROR(__xludf.DUMMYFUNCTION("""COMPUTED_VALUE"""),900.0)</f>
        <v>900</v>
      </c>
      <c r="U79" s="18">
        <f>IFERROR(__xludf.DUMMYFUNCTION("""COMPUTED_VALUE"""),45296.0)</f>
        <v>45296</v>
      </c>
      <c r="V79" s="4" t="str">
        <f>IFERROR(__xludf.DUMMYFUNCTION("""COMPUTED_VALUE"""),"Delhi")</f>
        <v>Delhi</v>
      </c>
    </row>
    <row r="80" ht="14.25" customHeight="1">
      <c r="J80" s="4" t="str">
        <f>IFERROR(__xludf.DUMMYFUNCTION("""COMPUTED_VALUE"""),"Gaming Headset")</f>
        <v>Gaming Headset</v>
      </c>
      <c r="K80" s="4">
        <f>IFERROR(__xludf.DUMMYFUNCTION("""COMPUTED_VALUE"""),1800.0)</f>
        <v>1800</v>
      </c>
      <c r="L80" s="4">
        <f>IFERROR(__xludf.DUMMYFUNCTION("""COMPUTED_VALUE"""),2.0)</f>
        <v>2</v>
      </c>
      <c r="M80" s="4">
        <f>IFERROR(__xludf.DUMMYFUNCTION("""COMPUTED_VALUE"""),3600.0)</f>
        <v>3600</v>
      </c>
      <c r="N80" s="10">
        <f>IFERROR(__xludf.DUMMYFUNCTION("""COMPUTED_VALUE"""),45313.0)</f>
        <v>45313</v>
      </c>
      <c r="O80" s="4" t="str">
        <f>IFERROR(__xludf.DUMMYFUNCTION("""COMPUTED_VALUE"""),"Pune")</f>
        <v>Pune</v>
      </c>
      <c r="Q80" s="4" t="str">
        <f>IFERROR(__xludf.DUMMYFUNCTION("""COMPUTED_VALUE"""),"Gaming Headset")</f>
        <v>Gaming Headset</v>
      </c>
      <c r="R80" s="4">
        <f>IFERROR(__xludf.DUMMYFUNCTION("""COMPUTED_VALUE"""),1800.0)</f>
        <v>1800</v>
      </c>
      <c r="S80" s="4">
        <f>IFERROR(__xludf.DUMMYFUNCTION("""COMPUTED_VALUE"""),2.0)</f>
        <v>2</v>
      </c>
      <c r="T80" s="4">
        <f>IFERROR(__xludf.DUMMYFUNCTION("""COMPUTED_VALUE"""),3600.0)</f>
        <v>3600</v>
      </c>
      <c r="U80" s="18">
        <f>IFERROR(__xludf.DUMMYFUNCTION("""COMPUTED_VALUE"""),45313.0)</f>
        <v>45313</v>
      </c>
      <c r="V80" s="4" t="str">
        <f>IFERROR(__xludf.DUMMYFUNCTION("""COMPUTED_VALUE"""),"Pune")</f>
        <v>Pune</v>
      </c>
    </row>
    <row r="81" ht="14.25" customHeight="1">
      <c r="J81" s="4" t="str">
        <f>IFERROR(__xludf.DUMMYFUNCTION("""COMPUTED_VALUE"""),"USB Flash Drive 32GB")</f>
        <v>USB Flash Drive 32GB</v>
      </c>
      <c r="K81" s="4">
        <f>IFERROR(__xludf.DUMMYFUNCTION("""COMPUTED_VALUE"""),600.0)</f>
        <v>600</v>
      </c>
      <c r="L81" s="4">
        <f>IFERROR(__xludf.DUMMYFUNCTION("""COMPUTED_VALUE"""),3.0)</f>
        <v>3</v>
      </c>
      <c r="M81" s="4">
        <f>IFERROR(__xludf.DUMMYFUNCTION("""COMPUTED_VALUE"""),1800.0)</f>
        <v>1800</v>
      </c>
      <c r="N81" s="10">
        <f>IFERROR(__xludf.DUMMYFUNCTION("""COMPUTED_VALUE"""),45353.0)</f>
        <v>45353</v>
      </c>
      <c r="O81" s="4" t="str">
        <f>IFERROR(__xludf.DUMMYFUNCTION("""COMPUTED_VALUE"""),"Noida")</f>
        <v>Noida</v>
      </c>
      <c r="Q81" s="4" t="str">
        <f>IFERROR(__xludf.DUMMYFUNCTION("""COMPUTED_VALUE"""),"USB Flash Drive 32GB")</f>
        <v>USB Flash Drive 32GB</v>
      </c>
      <c r="R81" s="4">
        <f>IFERROR(__xludf.DUMMYFUNCTION("""COMPUTED_VALUE"""),600.0)</f>
        <v>600</v>
      </c>
      <c r="S81" s="4">
        <f>IFERROR(__xludf.DUMMYFUNCTION("""COMPUTED_VALUE"""),3.0)</f>
        <v>3</v>
      </c>
      <c r="T81" s="4">
        <f>IFERROR(__xludf.DUMMYFUNCTION("""COMPUTED_VALUE"""),1800.0)</f>
        <v>1800</v>
      </c>
      <c r="U81" s="18">
        <f>IFERROR(__xludf.DUMMYFUNCTION("""COMPUTED_VALUE"""),45353.0)</f>
        <v>45353</v>
      </c>
      <c r="V81" s="4" t="str">
        <f>IFERROR(__xludf.DUMMYFUNCTION("""COMPUTED_VALUE"""),"Noida")</f>
        <v>Noida</v>
      </c>
    </row>
    <row r="82" ht="14.25" customHeight="1">
      <c r="J82" s="4" t="str">
        <f>IFERROR(__xludf.DUMMYFUNCTION("""COMPUTED_VALUE"""),"Bluetooth Speaker")</f>
        <v>Bluetooth Speaker</v>
      </c>
      <c r="K82" s="4">
        <f>IFERROR(__xludf.DUMMYFUNCTION("""COMPUTED_VALUE"""),2000.0)</f>
        <v>2000</v>
      </c>
      <c r="L82" s="4">
        <f>IFERROR(__xludf.DUMMYFUNCTION("""COMPUTED_VALUE"""),2.0)</f>
        <v>2</v>
      </c>
      <c r="M82" s="4">
        <f>IFERROR(__xludf.DUMMYFUNCTION("""COMPUTED_VALUE"""),4000.0)</f>
        <v>4000</v>
      </c>
      <c r="N82" s="10">
        <f>IFERROR(__xludf.DUMMYFUNCTION("""COMPUTED_VALUE"""),45299.0)</f>
        <v>45299</v>
      </c>
      <c r="O82" s="4" t="str">
        <f>IFERROR(__xludf.DUMMYFUNCTION("""COMPUTED_VALUE"""),"Noida")</f>
        <v>Noida</v>
      </c>
      <c r="Q82" s="4" t="str">
        <f>IFERROR(__xludf.DUMMYFUNCTION("""COMPUTED_VALUE"""),"Bluetooth Speaker")</f>
        <v>Bluetooth Speaker</v>
      </c>
      <c r="R82" s="4">
        <f>IFERROR(__xludf.DUMMYFUNCTION("""COMPUTED_VALUE"""),2000.0)</f>
        <v>2000</v>
      </c>
      <c r="S82" s="4">
        <f>IFERROR(__xludf.DUMMYFUNCTION("""COMPUTED_VALUE"""),2.0)</f>
        <v>2</v>
      </c>
      <c r="T82" s="4">
        <f>IFERROR(__xludf.DUMMYFUNCTION("""COMPUTED_VALUE"""),4000.0)</f>
        <v>4000</v>
      </c>
      <c r="U82" s="18">
        <f>IFERROR(__xludf.DUMMYFUNCTION("""COMPUTED_VALUE"""),45299.0)</f>
        <v>45299</v>
      </c>
      <c r="V82" s="4" t="str">
        <f>IFERROR(__xludf.DUMMYFUNCTION("""COMPUTED_VALUE"""),"Noida")</f>
        <v>Noida</v>
      </c>
    </row>
    <row r="83" ht="14.25" customHeight="1">
      <c r="J83" s="4" t="str">
        <f>IFERROR(__xludf.DUMMYFUNCTION("""COMPUTED_VALUE"""),"Smartphone Charger")</f>
        <v>Smartphone Charger</v>
      </c>
      <c r="K83" s="4">
        <f>IFERROR(__xludf.DUMMYFUNCTION("""COMPUTED_VALUE"""),500.0)</f>
        <v>500</v>
      </c>
      <c r="L83" s="4">
        <f>IFERROR(__xludf.DUMMYFUNCTION("""COMPUTED_VALUE"""),3.0)</f>
        <v>3</v>
      </c>
      <c r="M83" s="4">
        <f>IFERROR(__xludf.DUMMYFUNCTION("""COMPUTED_VALUE"""),1500.0)</f>
        <v>1500</v>
      </c>
      <c r="N83" s="10">
        <f>IFERROR(__xludf.DUMMYFUNCTION("""COMPUTED_VALUE"""),45369.0)</f>
        <v>45369</v>
      </c>
      <c r="O83" s="4" t="str">
        <f>IFERROR(__xludf.DUMMYFUNCTION("""COMPUTED_VALUE"""),"Pune")</f>
        <v>Pune</v>
      </c>
      <c r="Q83" s="4" t="str">
        <f>IFERROR(__xludf.DUMMYFUNCTION("""COMPUTED_VALUE"""),"Smartphone Charger")</f>
        <v>Smartphone Charger</v>
      </c>
      <c r="R83" s="4">
        <f>IFERROR(__xludf.DUMMYFUNCTION("""COMPUTED_VALUE"""),500.0)</f>
        <v>500</v>
      </c>
      <c r="S83" s="4">
        <f>IFERROR(__xludf.DUMMYFUNCTION("""COMPUTED_VALUE"""),3.0)</f>
        <v>3</v>
      </c>
      <c r="T83" s="4">
        <f>IFERROR(__xludf.DUMMYFUNCTION("""COMPUTED_VALUE"""),1500.0)</f>
        <v>1500</v>
      </c>
      <c r="U83" s="18">
        <f>IFERROR(__xludf.DUMMYFUNCTION("""COMPUTED_VALUE"""),45369.0)</f>
        <v>45369</v>
      </c>
      <c r="V83" s="4" t="str">
        <f>IFERROR(__xludf.DUMMYFUNCTION("""COMPUTED_VALUE"""),"Pune")</f>
        <v>Pune</v>
      </c>
    </row>
    <row r="84" ht="14.25" customHeight="1">
      <c r="J84" s="4" t="str">
        <f>IFERROR(__xludf.DUMMYFUNCTION("""COMPUTED_VALUE"""),"Power Bank 10000mAh")</f>
        <v>Power Bank 10000mAh</v>
      </c>
      <c r="K84" s="4">
        <f>IFERROR(__xludf.DUMMYFUNCTION("""COMPUTED_VALUE"""),1200.0)</f>
        <v>1200</v>
      </c>
      <c r="L84" s="4">
        <f>IFERROR(__xludf.DUMMYFUNCTION("""COMPUTED_VALUE"""),2.0)</f>
        <v>2</v>
      </c>
      <c r="M84" s="4">
        <f>IFERROR(__xludf.DUMMYFUNCTION("""COMPUTED_VALUE"""),2400.0)</f>
        <v>2400</v>
      </c>
      <c r="N84" s="10">
        <f>IFERROR(__xludf.DUMMYFUNCTION("""COMPUTED_VALUE"""),45349.0)</f>
        <v>45349</v>
      </c>
      <c r="O84" s="4" t="str">
        <f>IFERROR(__xludf.DUMMYFUNCTION("""COMPUTED_VALUE"""),"Pune")</f>
        <v>Pune</v>
      </c>
      <c r="Q84" s="4" t="str">
        <f>IFERROR(__xludf.DUMMYFUNCTION("""COMPUTED_VALUE"""),"Power Bank 10000mAh")</f>
        <v>Power Bank 10000mAh</v>
      </c>
      <c r="R84" s="4">
        <f>IFERROR(__xludf.DUMMYFUNCTION("""COMPUTED_VALUE"""),1200.0)</f>
        <v>1200</v>
      </c>
      <c r="S84" s="4">
        <f>IFERROR(__xludf.DUMMYFUNCTION("""COMPUTED_VALUE"""),2.0)</f>
        <v>2</v>
      </c>
      <c r="T84" s="4">
        <f>IFERROR(__xludf.DUMMYFUNCTION("""COMPUTED_VALUE"""),2400.0)</f>
        <v>2400</v>
      </c>
      <c r="U84" s="18">
        <f>IFERROR(__xludf.DUMMYFUNCTION("""COMPUTED_VALUE"""),45349.0)</f>
        <v>45349</v>
      </c>
      <c r="V84" s="4" t="str">
        <f>IFERROR(__xludf.DUMMYFUNCTION("""COMPUTED_VALUE"""),"Pune")</f>
        <v>Pune</v>
      </c>
    </row>
    <row r="85" ht="14.25" customHeight="1">
      <c r="J85" s="4" t="str">
        <f>IFERROR(__xludf.DUMMYFUNCTION("""COMPUTED_VALUE"""),"Wireless Earbuds")</f>
        <v>Wireless Earbuds</v>
      </c>
      <c r="K85" s="4">
        <f>IFERROR(__xludf.DUMMYFUNCTION("""COMPUTED_VALUE"""),2500.0)</f>
        <v>2500</v>
      </c>
      <c r="L85" s="4">
        <f>IFERROR(__xludf.DUMMYFUNCTION("""COMPUTED_VALUE"""),2.0)</f>
        <v>2</v>
      </c>
      <c r="M85" s="4">
        <f>IFERROR(__xludf.DUMMYFUNCTION("""COMPUTED_VALUE"""),5000.0)</f>
        <v>5000</v>
      </c>
      <c r="N85" s="10">
        <f>IFERROR(__xludf.DUMMYFUNCTION("""COMPUTED_VALUE"""),45371.0)</f>
        <v>45371</v>
      </c>
      <c r="O85" s="4" t="str">
        <f>IFERROR(__xludf.DUMMYFUNCTION("""COMPUTED_VALUE"""),"Noida")</f>
        <v>Noida</v>
      </c>
      <c r="Q85" s="4" t="str">
        <f>IFERROR(__xludf.DUMMYFUNCTION("""COMPUTED_VALUE"""),"Wireless Earbuds")</f>
        <v>Wireless Earbuds</v>
      </c>
      <c r="R85" s="4">
        <f>IFERROR(__xludf.DUMMYFUNCTION("""COMPUTED_VALUE"""),2500.0)</f>
        <v>2500</v>
      </c>
      <c r="S85" s="4">
        <f>IFERROR(__xludf.DUMMYFUNCTION("""COMPUTED_VALUE"""),2.0)</f>
        <v>2</v>
      </c>
      <c r="T85" s="4">
        <f>IFERROR(__xludf.DUMMYFUNCTION("""COMPUTED_VALUE"""),5000.0)</f>
        <v>5000</v>
      </c>
      <c r="U85" s="18">
        <f>IFERROR(__xludf.DUMMYFUNCTION("""COMPUTED_VALUE"""),45371.0)</f>
        <v>45371</v>
      </c>
      <c r="V85" s="4" t="str">
        <f>IFERROR(__xludf.DUMMYFUNCTION("""COMPUTED_VALUE"""),"Noida")</f>
        <v>Noida</v>
      </c>
    </row>
    <row r="86" ht="14.25" customHeight="1">
      <c r="J86" s="4" t="str">
        <f>IFERROR(__xludf.DUMMYFUNCTION("""COMPUTED_VALUE"""),"LED Desk Lamp")</f>
        <v>LED Desk Lamp</v>
      </c>
      <c r="K86" s="4">
        <f>IFERROR(__xludf.DUMMYFUNCTION("""COMPUTED_VALUE"""),1200.0)</f>
        <v>1200</v>
      </c>
      <c r="L86" s="4">
        <f>IFERROR(__xludf.DUMMYFUNCTION("""COMPUTED_VALUE"""),2.0)</f>
        <v>2</v>
      </c>
      <c r="M86" s="4">
        <f>IFERROR(__xludf.DUMMYFUNCTION("""COMPUTED_VALUE"""),2400.0)</f>
        <v>2400</v>
      </c>
      <c r="N86" s="10">
        <f>IFERROR(__xludf.DUMMYFUNCTION("""COMPUTED_VALUE"""),45305.0)</f>
        <v>45305</v>
      </c>
      <c r="O86" s="4" t="str">
        <f>IFERROR(__xludf.DUMMYFUNCTION("""COMPUTED_VALUE"""),"Delhi")</f>
        <v>Delhi</v>
      </c>
      <c r="Q86" s="4" t="str">
        <f>IFERROR(__xludf.DUMMYFUNCTION("""COMPUTED_VALUE"""),"LED Desk Lamp")</f>
        <v>LED Desk Lamp</v>
      </c>
      <c r="R86" s="4">
        <f>IFERROR(__xludf.DUMMYFUNCTION("""COMPUTED_VALUE"""),1200.0)</f>
        <v>1200</v>
      </c>
      <c r="S86" s="4">
        <f>IFERROR(__xludf.DUMMYFUNCTION("""COMPUTED_VALUE"""),2.0)</f>
        <v>2</v>
      </c>
      <c r="T86" s="4">
        <f>IFERROR(__xludf.DUMMYFUNCTION("""COMPUTED_VALUE"""),2400.0)</f>
        <v>2400</v>
      </c>
      <c r="U86" s="18">
        <f>IFERROR(__xludf.DUMMYFUNCTION("""COMPUTED_VALUE"""),45305.0)</f>
        <v>45305</v>
      </c>
      <c r="V86" s="4" t="str">
        <f>IFERROR(__xludf.DUMMYFUNCTION("""COMPUTED_VALUE"""),"Delhi")</f>
        <v>Delhi</v>
      </c>
    </row>
    <row r="87" ht="14.25" customHeight="1">
      <c r="J87" s="4" t="str">
        <f>IFERROR(__xludf.DUMMYFUNCTION("""COMPUTED_VALUE"""),"USB-C Hub")</f>
        <v>USB-C Hub</v>
      </c>
      <c r="K87" s="4">
        <f>IFERROR(__xludf.DUMMYFUNCTION("""COMPUTED_VALUE"""),1500.0)</f>
        <v>1500</v>
      </c>
      <c r="L87" s="4">
        <f>IFERROR(__xludf.DUMMYFUNCTION("""COMPUTED_VALUE"""),2.0)</f>
        <v>2</v>
      </c>
      <c r="M87" s="4">
        <f>IFERROR(__xludf.DUMMYFUNCTION("""COMPUTED_VALUE"""),3000.0)</f>
        <v>3000</v>
      </c>
      <c r="N87" s="10">
        <f>IFERROR(__xludf.DUMMYFUNCTION("""COMPUTED_VALUE"""),45347.0)</f>
        <v>45347</v>
      </c>
      <c r="O87" s="4" t="str">
        <f>IFERROR(__xludf.DUMMYFUNCTION("""COMPUTED_VALUE"""),"Mumbai")</f>
        <v>Mumbai</v>
      </c>
      <c r="Q87" s="4" t="str">
        <f>IFERROR(__xludf.DUMMYFUNCTION("""COMPUTED_VALUE"""),"USB-C Hub")</f>
        <v>USB-C Hub</v>
      </c>
      <c r="R87" s="4">
        <f>IFERROR(__xludf.DUMMYFUNCTION("""COMPUTED_VALUE"""),1500.0)</f>
        <v>1500</v>
      </c>
      <c r="S87" s="4">
        <f>IFERROR(__xludf.DUMMYFUNCTION("""COMPUTED_VALUE"""),2.0)</f>
        <v>2</v>
      </c>
      <c r="T87" s="4">
        <f>IFERROR(__xludf.DUMMYFUNCTION("""COMPUTED_VALUE"""),3000.0)</f>
        <v>3000</v>
      </c>
      <c r="U87" s="18">
        <f>IFERROR(__xludf.DUMMYFUNCTION("""COMPUTED_VALUE"""),45347.0)</f>
        <v>45347</v>
      </c>
      <c r="V87" s="4" t="str">
        <f>IFERROR(__xludf.DUMMYFUNCTION("""COMPUTED_VALUE"""),"Mumbai")</f>
        <v>Mumbai</v>
      </c>
    </row>
    <row r="88" ht="14.25" customHeight="1">
      <c r="J88" s="4" t="str">
        <f>IFERROR(__xludf.DUMMYFUNCTION("""COMPUTED_VALUE"""),"Smart Bulb")</f>
        <v>Smart Bulb</v>
      </c>
      <c r="K88" s="4">
        <f>IFERROR(__xludf.DUMMYFUNCTION("""COMPUTED_VALUE"""),900.0)</f>
        <v>900</v>
      </c>
      <c r="L88" s="4">
        <f>IFERROR(__xludf.DUMMYFUNCTION("""COMPUTED_VALUE"""),3.0)</f>
        <v>3</v>
      </c>
      <c r="M88" s="4">
        <f>IFERROR(__xludf.DUMMYFUNCTION("""COMPUTED_VALUE"""),2700.0)</f>
        <v>2700</v>
      </c>
      <c r="N88" s="10">
        <f>IFERROR(__xludf.DUMMYFUNCTION("""COMPUTED_VALUE"""),45317.0)</f>
        <v>45317</v>
      </c>
      <c r="O88" s="4" t="str">
        <f>IFERROR(__xludf.DUMMYFUNCTION("""COMPUTED_VALUE"""),"Mumbai")</f>
        <v>Mumbai</v>
      </c>
      <c r="Q88" s="4" t="str">
        <f>IFERROR(__xludf.DUMMYFUNCTION("""COMPUTED_VALUE"""),"Smart Bulb")</f>
        <v>Smart Bulb</v>
      </c>
      <c r="R88" s="4">
        <f>IFERROR(__xludf.DUMMYFUNCTION("""COMPUTED_VALUE"""),900.0)</f>
        <v>900</v>
      </c>
      <c r="S88" s="4">
        <f>IFERROR(__xludf.DUMMYFUNCTION("""COMPUTED_VALUE"""),3.0)</f>
        <v>3</v>
      </c>
      <c r="T88" s="4">
        <f>IFERROR(__xludf.DUMMYFUNCTION("""COMPUTED_VALUE"""),2700.0)</f>
        <v>2700</v>
      </c>
      <c r="U88" s="18">
        <f>IFERROR(__xludf.DUMMYFUNCTION("""COMPUTED_VALUE"""),45317.0)</f>
        <v>45317</v>
      </c>
      <c r="V88" s="4" t="str">
        <f>IFERROR(__xludf.DUMMYFUNCTION("""COMPUTED_VALUE"""),"Mumbai")</f>
        <v>Mumbai</v>
      </c>
    </row>
    <row r="89" ht="14.25" customHeight="1">
      <c r="J89" s="4" t="str">
        <f>IFERROR(__xludf.DUMMYFUNCTION("""COMPUTED_VALUE"""),"HDMI Cable 2m")</f>
        <v>HDMI Cable 2m</v>
      </c>
      <c r="K89" s="4">
        <f>IFERROR(__xludf.DUMMYFUNCTION("""COMPUTED_VALUE"""),700.0)</f>
        <v>700</v>
      </c>
      <c r="L89" s="4">
        <f>IFERROR(__xludf.DUMMYFUNCTION("""COMPUTED_VALUE"""),2.0)</f>
        <v>2</v>
      </c>
      <c r="M89" s="4">
        <f>IFERROR(__xludf.DUMMYFUNCTION("""COMPUTED_VALUE"""),1400.0)</f>
        <v>1400</v>
      </c>
      <c r="N89" s="10">
        <f>IFERROR(__xludf.DUMMYFUNCTION("""COMPUTED_VALUE"""),45312.0)</f>
        <v>45312</v>
      </c>
      <c r="O89" s="4" t="str">
        <f>IFERROR(__xludf.DUMMYFUNCTION("""COMPUTED_VALUE"""),"Mumbai")</f>
        <v>Mumbai</v>
      </c>
      <c r="Q89" s="4" t="str">
        <f>IFERROR(__xludf.DUMMYFUNCTION("""COMPUTED_VALUE"""),"HDMI Cable 2m")</f>
        <v>HDMI Cable 2m</v>
      </c>
      <c r="R89" s="4">
        <f>IFERROR(__xludf.DUMMYFUNCTION("""COMPUTED_VALUE"""),700.0)</f>
        <v>700</v>
      </c>
      <c r="S89" s="4">
        <f>IFERROR(__xludf.DUMMYFUNCTION("""COMPUTED_VALUE"""),2.0)</f>
        <v>2</v>
      </c>
      <c r="T89" s="4">
        <f>IFERROR(__xludf.DUMMYFUNCTION("""COMPUTED_VALUE"""),1400.0)</f>
        <v>1400</v>
      </c>
      <c r="U89" s="18">
        <f>IFERROR(__xludf.DUMMYFUNCTION("""COMPUTED_VALUE"""),45312.0)</f>
        <v>45312</v>
      </c>
      <c r="V89" s="4" t="str">
        <f>IFERROR(__xludf.DUMMYFUNCTION("""COMPUTED_VALUE"""),"Mumbai")</f>
        <v>Mumbai</v>
      </c>
    </row>
    <row r="90" ht="14.25" customHeight="1">
      <c r="J90" s="4" t="str">
        <f>IFERROR(__xludf.DUMMYFUNCTION("""COMPUTED_VALUE"""),"Wireless Keyboard")</f>
        <v>Wireless Keyboard</v>
      </c>
      <c r="K90" s="4">
        <f>IFERROR(__xludf.DUMMYFUNCTION("""COMPUTED_VALUE"""),2200.0)</f>
        <v>2200</v>
      </c>
      <c r="L90" s="4">
        <f>IFERROR(__xludf.DUMMYFUNCTION("""COMPUTED_VALUE"""),2.0)</f>
        <v>2</v>
      </c>
      <c r="M90" s="4">
        <f>IFERROR(__xludf.DUMMYFUNCTION("""COMPUTED_VALUE"""),4400.0)</f>
        <v>4400</v>
      </c>
      <c r="N90" s="10">
        <f>IFERROR(__xludf.DUMMYFUNCTION("""COMPUTED_VALUE"""),45365.0)</f>
        <v>45365</v>
      </c>
      <c r="O90" s="4" t="str">
        <f>IFERROR(__xludf.DUMMYFUNCTION("""COMPUTED_VALUE"""),"Mumbai")</f>
        <v>Mumbai</v>
      </c>
      <c r="Q90" s="4" t="str">
        <f>IFERROR(__xludf.DUMMYFUNCTION("""COMPUTED_VALUE"""),"Wireless Keyboard")</f>
        <v>Wireless Keyboard</v>
      </c>
      <c r="R90" s="4">
        <f>IFERROR(__xludf.DUMMYFUNCTION("""COMPUTED_VALUE"""),2200.0)</f>
        <v>2200</v>
      </c>
      <c r="S90" s="4">
        <f>IFERROR(__xludf.DUMMYFUNCTION("""COMPUTED_VALUE"""),2.0)</f>
        <v>2</v>
      </c>
      <c r="T90" s="4">
        <f>IFERROR(__xludf.DUMMYFUNCTION("""COMPUTED_VALUE"""),4400.0)</f>
        <v>4400</v>
      </c>
      <c r="U90" s="18">
        <f>IFERROR(__xludf.DUMMYFUNCTION("""COMPUTED_VALUE"""),45365.0)</f>
        <v>45365</v>
      </c>
      <c r="V90" s="4" t="str">
        <f>IFERROR(__xludf.DUMMYFUNCTION("""COMPUTED_VALUE"""),"Mumbai")</f>
        <v>Mumbai</v>
      </c>
    </row>
    <row r="91" ht="14.25" customHeight="1">
      <c r="J91" s="4" t="str">
        <f>IFERROR(__xludf.DUMMYFUNCTION("""COMPUTED_VALUE"""),"Noise Reduction Earplugs")</f>
        <v>Noise Reduction Earplugs</v>
      </c>
      <c r="K91" s="4">
        <f>IFERROR(__xludf.DUMMYFUNCTION("""COMPUTED_VALUE"""),600.0)</f>
        <v>600</v>
      </c>
      <c r="L91" s="4">
        <f>IFERROR(__xludf.DUMMYFUNCTION("""COMPUTED_VALUE"""),3.0)</f>
        <v>3</v>
      </c>
      <c r="M91" s="4">
        <f>IFERROR(__xludf.DUMMYFUNCTION("""COMPUTED_VALUE"""),1800.0)</f>
        <v>1800</v>
      </c>
      <c r="N91" s="10">
        <f>IFERROR(__xludf.DUMMYFUNCTION("""COMPUTED_VALUE"""),45298.0)</f>
        <v>45298</v>
      </c>
      <c r="O91" s="4" t="str">
        <f>IFERROR(__xludf.DUMMYFUNCTION("""COMPUTED_VALUE"""),"Pune")</f>
        <v>Pune</v>
      </c>
      <c r="Q91" s="4" t="str">
        <f>IFERROR(__xludf.DUMMYFUNCTION("""COMPUTED_VALUE"""),"Noise Reduction Earplugs")</f>
        <v>Noise Reduction Earplugs</v>
      </c>
      <c r="R91" s="4">
        <f>IFERROR(__xludf.DUMMYFUNCTION("""COMPUTED_VALUE"""),600.0)</f>
        <v>600</v>
      </c>
      <c r="S91" s="4">
        <f>IFERROR(__xludf.DUMMYFUNCTION("""COMPUTED_VALUE"""),3.0)</f>
        <v>3</v>
      </c>
      <c r="T91" s="4">
        <f>IFERROR(__xludf.DUMMYFUNCTION("""COMPUTED_VALUE"""),1800.0)</f>
        <v>1800</v>
      </c>
      <c r="U91" s="18">
        <f>IFERROR(__xludf.DUMMYFUNCTION("""COMPUTED_VALUE"""),45298.0)</f>
        <v>45298</v>
      </c>
      <c r="V91" s="4" t="str">
        <f>IFERROR(__xludf.DUMMYFUNCTION("""COMPUTED_VALUE"""),"Pune")</f>
        <v>Pune</v>
      </c>
    </row>
    <row r="92" ht="14.25" customHeight="1">
      <c r="J92" s="4" t="str">
        <f>IFERROR(__xludf.DUMMYFUNCTION("""COMPUTED_VALUE"""),"Fitness Tracker")</f>
        <v>Fitness Tracker</v>
      </c>
      <c r="K92" s="4">
        <f>IFERROR(__xludf.DUMMYFUNCTION("""COMPUTED_VALUE"""),3200.0)</f>
        <v>3200</v>
      </c>
      <c r="L92" s="4">
        <f>IFERROR(__xludf.DUMMYFUNCTION("""COMPUTED_VALUE"""),2.0)</f>
        <v>2</v>
      </c>
      <c r="M92" s="4">
        <f>IFERROR(__xludf.DUMMYFUNCTION("""COMPUTED_VALUE"""),6400.0)</f>
        <v>6400</v>
      </c>
      <c r="N92" s="10">
        <f>IFERROR(__xludf.DUMMYFUNCTION("""COMPUTED_VALUE"""),45310.0)</f>
        <v>45310</v>
      </c>
      <c r="O92" s="4" t="str">
        <f>IFERROR(__xludf.DUMMYFUNCTION("""COMPUTED_VALUE"""),"Noida")</f>
        <v>Noida</v>
      </c>
      <c r="Q92" s="4" t="str">
        <f>IFERROR(__xludf.DUMMYFUNCTION("""COMPUTED_VALUE"""),"Fitness Tracker")</f>
        <v>Fitness Tracker</v>
      </c>
      <c r="R92" s="4">
        <f>IFERROR(__xludf.DUMMYFUNCTION("""COMPUTED_VALUE"""),3200.0)</f>
        <v>3200</v>
      </c>
      <c r="S92" s="4">
        <f>IFERROR(__xludf.DUMMYFUNCTION("""COMPUTED_VALUE"""),2.0)</f>
        <v>2</v>
      </c>
      <c r="T92" s="4">
        <f>IFERROR(__xludf.DUMMYFUNCTION("""COMPUTED_VALUE"""),6400.0)</f>
        <v>6400</v>
      </c>
      <c r="U92" s="18">
        <f>IFERROR(__xludf.DUMMYFUNCTION("""COMPUTED_VALUE"""),45310.0)</f>
        <v>45310</v>
      </c>
      <c r="V92" s="4" t="str">
        <f>IFERROR(__xludf.DUMMYFUNCTION("""COMPUTED_VALUE"""),"Noida")</f>
        <v>Noida</v>
      </c>
    </row>
    <row r="93" ht="14.25" customHeight="1">
      <c r="J93" s="4" t="str">
        <f>IFERROR(__xludf.DUMMYFUNCTION("""COMPUTED_VALUE"""),"Car Phone Mount")</f>
        <v>Car Phone Mount</v>
      </c>
      <c r="K93" s="4">
        <f>IFERROR(__xludf.DUMMYFUNCTION("""COMPUTED_VALUE"""),800.0)</f>
        <v>800</v>
      </c>
      <c r="L93" s="4">
        <f>IFERROR(__xludf.DUMMYFUNCTION("""COMPUTED_VALUE"""),2.0)</f>
        <v>2</v>
      </c>
      <c r="M93" s="4">
        <f>IFERROR(__xludf.DUMMYFUNCTION("""COMPUTED_VALUE"""),1600.0)</f>
        <v>1600</v>
      </c>
      <c r="N93" s="10">
        <f>IFERROR(__xludf.DUMMYFUNCTION("""COMPUTED_VALUE"""),45344.0)</f>
        <v>45344</v>
      </c>
      <c r="O93" s="4" t="str">
        <f>IFERROR(__xludf.DUMMYFUNCTION("""COMPUTED_VALUE"""),"Pune")</f>
        <v>Pune</v>
      </c>
      <c r="Q93" s="4" t="str">
        <f>IFERROR(__xludf.DUMMYFUNCTION("""COMPUTED_VALUE"""),"Car Phone Mount")</f>
        <v>Car Phone Mount</v>
      </c>
      <c r="R93" s="4">
        <f>IFERROR(__xludf.DUMMYFUNCTION("""COMPUTED_VALUE"""),800.0)</f>
        <v>800</v>
      </c>
      <c r="S93" s="4">
        <f>IFERROR(__xludf.DUMMYFUNCTION("""COMPUTED_VALUE"""),2.0)</f>
        <v>2</v>
      </c>
      <c r="T93" s="4">
        <f>IFERROR(__xludf.DUMMYFUNCTION("""COMPUTED_VALUE"""),1600.0)</f>
        <v>1600</v>
      </c>
      <c r="U93" s="18">
        <f>IFERROR(__xludf.DUMMYFUNCTION("""COMPUTED_VALUE"""),45344.0)</f>
        <v>45344</v>
      </c>
      <c r="V93" s="4" t="str">
        <f>IFERROR(__xludf.DUMMYFUNCTION("""COMPUTED_VALUE"""),"Pune")</f>
        <v>Pune</v>
      </c>
    </row>
    <row r="94" ht="14.25" customHeight="1">
      <c r="J94" s="4" t="str">
        <f>IFERROR(__xludf.DUMMYFUNCTION("""COMPUTED_VALUE"""),"Wireless Charging Pad")</f>
        <v>Wireless Charging Pad</v>
      </c>
      <c r="K94" s="4">
        <f>IFERROR(__xludf.DUMMYFUNCTION("""COMPUTED_VALUE"""),2000.0)</f>
        <v>2000</v>
      </c>
      <c r="L94" s="4">
        <f>IFERROR(__xludf.DUMMYFUNCTION("""COMPUTED_VALUE"""),2.0)</f>
        <v>2</v>
      </c>
      <c r="M94" s="4">
        <f>IFERROR(__xludf.DUMMYFUNCTION("""COMPUTED_VALUE"""),4000.0)</f>
        <v>4000</v>
      </c>
      <c r="N94" s="10">
        <f>IFERROR(__xludf.DUMMYFUNCTION("""COMPUTED_VALUE"""),45320.0)</f>
        <v>45320</v>
      </c>
      <c r="O94" s="4" t="str">
        <f>IFERROR(__xludf.DUMMYFUNCTION("""COMPUTED_VALUE"""),"Mumbai")</f>
        <v>Mumbai</v>
      </c>
      <c r="Q94" s="4" t="str">
        <f>IFERROR(__xludf.DUMMYFUNCTION("""COMPUTED_VALUE"""),"Wireless Charging Pad")</f>
        <v>Wireless Charging Pad</v>
      </c>
      <c r="R94" s="4">
        <f>IFERROR(__xludf.DUMMYFUNCTION("""COMPUTED_VALUE"""),2000.0)</f>
        <v>2000</v>
      </c>
      <c r="S94" s="4">
        <f>IFERROR(__xludf.DUMMYFUNCTION("""COMPUTED_VALUE"""),2.0)</f>
        <v>2</v>
      </c>
      <c r="T94" s="4">
        <f>IFERROR(__xludf.DUMMYFUNCTION("""COMPUTED_VALUE"""),4000.0)</f>
        <v>4000</v>
      </c>
      <c r="U94" s="18">
        <f>IFERROR(__xludf.DUMMYFUNCTION("""COMPUTED_VALUE"""),45320.0)</f>
        <v>45320</v>
      </c>
      <c r="V94" s="4" t="str">
        <f>IFERROR(__xludf.DUMMYFUNCTION("""COMPUTED_VALUE"""),"Mumbai")</f>
        <v>Mumbai</v>
      </c>
    </row>
    <row r="95" ht="14.25" customHeight="1">
      <c r="N95" s="10"/>
    </row>
    <row r="96" ht="14.25" customHeight="1">
      <c r="N96" s="10"/>
    </row>
    <row r="97" ht="14.25" customHeight="1">
      <c r="N97" s="10"/>
    </row>
    <row r="98" ht="14.25" customHeight="1">
      <c r="N98" s="10"/>
    </row>
    <row r="99" ht="14.25" customHeight="1">
      <c r="J99" s="17" t="s">
        <v>78</v>
      </c>
      <c r="K99" s="21" t="str">
        <f>FORMULATEXT(J100)</f>
        <v>=filter(B2:G44, Right(G2:G44,1)="i")</v>
      </c>
      <c r="L99" s="6"/>
      <c r="M99" s="6"/>
      <c r="N99" s="6"/>
      <c r="O99" s="7"/>
    </row>
    <row r="100" ht="14.25" customHeight="1">
      <c r="J100" s="4" t="str">
        <f>IFERROR(__xludf.DUMMYFUNCTION("filter(B2:G44, Right(G2:G44,1)=""i"")"),"Wireless Mouse")</f>
        <v>Wireless Mouse</v>
      </c>
      <c r="K100" s="4">
        <f>IFERROR(__xludf.DUMMYFUNCTION("""COMPUTED_VALUE"""),450.0)</f>
        <v>450</v>
      </c>
      <c r="L100" s="4">
        <f>IFERROR(__xludf.DUMMYFUNCTION("""COMPUTED_VALUE"""),2.0)</f>
        <v>2</v>
      </c>
      <c r="M100" s="4">
        <f>IFERROR(__xludf.DUMMYFUNCTION("""COMPUTED_VALUE"""),900.0)</f>
        <v>900</v>
      </c>
      <c r="N100" s="10">
        <f>IFERROR(__xludf.DUMMYFUNCTION("""COMPUTED_VALUE"""),45296.0)</f>
        <v>45296</v>
      </c>
      <c r="O100" s="4" t="str">
        <f>IFERROR(__xludf.DUMMYFUNCTION("""COMPUTED_VALUE"""),"Delhi")</f>
        <v>Delhi</v>
      </c>
    </row>
    <row r="101" ht="14.25" customHeight="1">
      <c r="J101" s="4" t="str">
        <f>IFERROR(__xludf.DUMMYFUNCTION("""COMPUTED_VALUE"""),"Mechanical Keyboard")</f>
        <v>Mechanical Keyboard</v>
      </c>
      <c r="K101" s="4">
        <f>IFERROR(__xludf.DUMMYFUNCTION("""COMPUTED_VALUE"""),1200.0)</f>
        <v>1200</v>
      </c>
      <c r="L101" s="4">
        <f>IFERROR(__xludf.DUMMYFUNCTION("""COMPUTED_VALUE"""),1.0)</f>
        <v>1</v>
      </c>
      <c r="M101" s="4">
        <f>IFERROR(__xludf.DUMMYFUNCTION("""COMPUTED_VALUE"""),1200.0)</f>
        <v>1200</v>
      </c>
      <c r="N101" s="10">
        <f>IFERROR(__xludf.DUMMYFUNCTION("""COMPUTED_VALUE"""),45332.0)</f>
        <v>45332</v>
      </c>
      <c r="O101" s="4" t="str">
        <f>IFERROR(__xludf.DUMMYFUNCTION("""COMPUTED_VALUE"""),"Mumbai")</f>
        <v>Mumbai</v>
      </c>
    </row>
    <row r="102" ht="14.25" customHeight="1">
      <c r="J102" s="4" t="str">
        <f>IFERROR(__xludf.DUMMYFUNCTION("""COMPUTED_VALUE"""),"Laptop Stand")</f>
        <v>Laptop Stand</v>
      </c>
      <c r="K102" s="4">
        <f>IFERROR(__xludf.DUMMYFUNCTION("""COMPUTED_VALUE"""),750.0)</f>
        <v>750</v>
      </c>
      <c r="L102" s="4">
        <f>IFERROR(__xludf.DUMMYFUNCTION("""COMPUTED_VALUE"""),1.0)</f>
        <v>1</v>
      </c>
      <c r="M102" s="4">
        <f>IFERROR(__xludf.DUMMYFUNCTION("""COMPUTED_VALUE"""),750.0)</f>
        <v>750</v>
      </c>
      <c r="N102" s="10">
        <f>IFERROR(__xludf.DUMMYFUNCTION("""COMPUTED_VALUE"""),45337.0)</f>
        <v>45337</v>
      </c>
      <c r="O102" s="4" t="str">
        <f>IFERROR(__xludf.DUMMYFUNCTION("""COMPUTED_VALUE"""),"Delhi")</f>
        <v>Delhi</v>
      </c>
    </row>
    <row r="103" ht="14.25" customHeight="1">
      <c r="J103" s="4" t="str">
        <f>IFERROR(__xludf.DUMMYFUNCTION("""COMPUTED_VALUE"""),"Smartwatch")</f>
        <v>Smartwatch</v>
      </c>
      <c r="K103" s="4">
        <f>IFERROR(__xludf.DUMMYFUNCTION("""COMPUTED_VALUE"""),3500.0)</f>
        <v>3500</v>
      </c>
      <c r="L103" s="4">
        <f>IFERROR(__xludf.DUMMYFUNCTION("""COMPUTED_VALUE"""),1.0)</f>
        <v>1</v>
      </c>
      <c r="M103" s="4">
        <f>IFERROR(__xludf.DUMMYFUNCTION("""COMPUTED_VALUE"""),3500.0)</f>
        <v>3500</v>
      </c>
      <c r="N103" s="10">
        <f>IFERROR(__xludf.DUMMYFUNCTION("""COMPUTED_VALUE"""),45383.0)</f>
        <v>45383</v>
      </c>
      <c r="O103" s="4" t="str">
        <f>IFERROR(__xludf.DUMMYFUNCTION("""COMPUTED_VALUE"""),"Mumbai")</f>
        <v>Mumbai</v>
      </c>
    </row>
    <row r="104" ht="14.25" customHeight="1">
      <c r="J104" s="4" t="str">
        <f>IFERROR(__xludf.DUMMYFUNCTION("""COMPUTED_VALUE"""),"External Hard Drive 1TB")</f>
        <v>External Hard Drive 1TB</v>
      </c>
      <c r="K104" s="4">
        <f>IFERROR(__xludf.DUMMYFUNCTION("""COMPUTED_VALUE"""),4500.0)</f>
        <v>4500</v>
      </c>
      <c r="L104" s="4">
        <f>IFERROR(__xludf.DUMMYFUNCTION("""COMPUTED_VALUE"""),1.0)</f>
        <v>1</v>
      </c>
      <c r="M104" s="4">
        <f>IFERROR(__xludf.DUMMYFUNCTION("""COMPUTED_VALUE"""),4500.0)</f>
        <v>4500</v>
      </c>
      <c r="N104" s="10">
        <f>IFERROR(__xludf.DUMMYFUNCTION("""COMPUTED_VALUE"""),45321.0)</f>
        <v>45321</v>
      </c>
      <c r="O104" s="4" t="str">
        <f>IFERROR(__xludf.DUMMYFUNCTION("""COMPUTED_VALUE"""),"Delhi")</f>
        <v>Delhi</v>
      </c>
    </row>
    <row r="105" ht="14.25" customHeight="1">
      <c r="J105" s="4" t="str">
        <f>IFERROR(__xludf.DUMMYFUNCTION("""COMPUTED_VALUE"""),"LED Desk Lamp")</f>
        <v>LED Desk Lamp</v>
      </c>
      <c r="K105" s="4">
        <f>IFERROR(__xludf.DUMMYFUNCTION("""COMPUTED_VALUE"""),1200.0)</f>
        <v>1200</v>
      </c>
      <c r="L105" s="4">
        <f>IFERROR(__xludf.DUMMYFUNCTION("""COMPUTED_VALUE"""),2.0)</f>
        <v>2</v>
      </c>
      <c r="M105" s="4">
        <f>IFERROR(__xludf.DUMMYFUNCTION("""COMPUTED_VALUE"""),2400.0)</f>
        <v>2400</v>
      </c>
      <c r="N105" s="10">
        <f>IFERROR(__xludf.DUMMYFUNCTION("""COMPUTED_VALUE"""),45305.0)</f>
        <v>45305</v>
      </c>
      <c r="O105" s="4" t="str">
        <f>IFERROR(__xludf.DUMMYFUNCTION("""COMPUTED_VALUE"""),"Delhi")</f>
        <v>Delhi</v>
      </c>
    </row>
    <row r="106" ht="14.25" customHeight="1">
      <c r="J106" s="4" t="str">
        <f>IFERROR(__xludf.DUMMYFUNCTION("""COMPUTED_VALUE"""),"Graphics Tablet")</f>
        <v>Graphics Tablet</v>
      </c>
      <c r="K106" s="4">
        <f>IFERROR(__xludf.DUMMYFUNCTION("""COMPUTED_VALUE"""),7200.0)</f>
        <v>7200</v>
      </c>
      <c r="L106" s="4">
        <f>IFERROR(__xludf.DUMMYFUNCTION("""COMPUTED_VALUE"""),1.0)</f>
        <v>1</v>
      </c>
      <c r="M106" s="4">
        <f>IFERROR(__xludf.DUMMYFUNCTION("""COMPUTED_VALUE"""),7200.0)</f>
        <v>7200</v>
      </c>
      <c r="N106" s="10">
        <f>IFERROR(__xludf.DUMMYFUNCTION("""COMPUTED_VALUE"""),45356.0)</f>
        <v>45356</v>
      </c>
      <c r="O106" s="4" t="str">
        <f>IFERROR(__xludf.DUMMYFUNCTION("""COMPUTED_VALUE"""),"Delhi")</f>
        <v>Delhi</v>
      </c>
    </row>
    <row r="107" ht="14.25" customHeight="1">
      <c r="J107" s="4" t="str">
        <f>IFERROR(__xludf.DUMMYFUNCTION("""COMPUTED_VALUE"""),"USB-C Hub")</f>
        <v>USB-C Hub</v>
      </c>
      <c r="K107" s="4">
        <f>IFERROR(__xludf.DUMMYFUNCTION("""COMPUTED_VALUE"""),1500.0)</f>
        <v>1500</v>
      </c>
      <c r="L107" s="4">
        <f>IFERROR(__xludf.DUMMYFUNCTION("""COMPUTED_VALUE"""),2.0)</f>
        <v>2</v>
      </c>
      <c r="M107" s="4">
        <f>IFERROR(__xludf.DUMMYFUNCTION("""COMPUTED_VALUE"""),3000.0)</f>
        <v>3000</v>
      </c>
      <c r="N107" s="10">
        <f>IFERROR(__xludf.DUMMYFUNCTION("""COMPUTED_VALUE"""),45347.0)</f>
        <v>45347</v>
      </c>
      <c r="O107" s="4" t="str">
        <f>IFERROR(__xludf.DUMMYFUNCTION("""COMPUTED_VALUE"""),"Mumbai")</f>
        <v>Mumbai</v>
      </c>
    </row>
    <row r="108" ht="14.25" customHeight="1">
      <c r="J108" s="4" t="str">
        <f>IFERROR(__xludf.DUMMYFUNCTION("""COMPUTED_VALUE"""),"Noise Cancelling Headphones")</f>
        <v>Noise Cancelling Headphones</v>
      </c>
      <c r="K108" s="4">
        <f>IFERROR(__xludf.DUMMYFUNCTION("""COMPUTED_VALUE"""),8500.0)</f>
        <v>8500</v>
      </c>
      <c r="L108" s="4">
        <f>IFERROR(__xludf.DUMMYFUNCTION("""COMPUTED_VALUE"""),1.0)</f>
        <v>1</v>
      </c>
      <c r="M108" s="4">
        <f>IFERROR(__xludf.DUMMYFUNCTION("""COMPUTED_VALUE"""),8500.0)</f>
        <v>8500</v>
      </c>
      <c r="N108" s="10">
        <f>IFERROR(__xludf.DUMMYFUNCTION("""COMPUTED_VALUE"""),45339.0)</f>
        <v>45339</v>
      </c>
      <c r="O108" s="4" t="str">
        <f>IFERROR(__xludf.DUMMYFUNCTION("""COMPUTED_VALUE"""),"Mumbai")</f>
        <v>Mumbai</v>
      </c>
    </row>
    <row r="109" ht="14.25" customHeight="1">
      <c r="J109" s="4" t="str">
        <f>IFERROR(__xludf.DUMMYFUNCTION("""COMPUTED_VALUE"""),"Webcam Full HD")</f>
        <v>Webcam Full HD</v>
      </c>
      <c r="K109" s="4">
        <f>IFERROR(__xludf.DUMMYFUNCTION("""COMPUTED_VALUE"""),3200.0)</f>
        <v>3200</v>
      </c>
      <c r="L109" s="4">
        <f>IFERROR(__xludf.DUMMYFUNCTION("""COMPUTED_VALUE"""),1.0)</f>
        <v>1</v>
      </c>
      <c r="M109" s="4">
        <f>IFERROR(__xludf.DUMMYFUNCTION("""COMPUTED_VALUE"""),3200.0)</f>
        <v>3200</v>
      </c>
      <c r="N109" s="10">
        <f>IFERROR(__xludf.DUMMYFUNCTION("""COMPUTED_VALUE"""),45380.0)</f>
        <v>45380</v>
      </c>
      <c r="O109" s="4" t="str">
        <f>IFERROR(__xludf.DUMMYFUNCTION("""COMPUTED_VALUE"""),"Mumbai")</f>
        <v>Mumbai</v>
      </c>
    </row>
    <row r="110" ht="14.25" customHeight="1">
      <c r="J110" s="4" t="str">
        <f>IFERROR(__xludf.DUMMYFUNCTION("""COMPUTED_VALUE"""),"Smart Bulb")</f>
        <v>Smart Bulb</v>
      </c>
      <c r="K110" s="4">
        <f>IFERROR(__xludf.DUMMYFUNCTION("""COMPUTED_VALUE"""),900.0)</f>
        <v>900</v>
      </c>
      <c r="L110" s="4">
        <f>IFERROR(__xludf.DUMMYFUNCTION("""COMPUTED_VALUE"""),3.0)</f>
        <v>3</v>
      </c>
      <c r="M110" s="4">
        <f>IFERROR(__xludf.DUMMYFUNCTION("""COMPUTED_VALUE"""),2700.0)</f>
        <v>2700</v>
      </c>
      <c r="N110" s="10">
        <f>IFERROR(__xludf.DUMMYFUNCTION("""COMPUTED_VALUE"""),45317.0)</f>
        <v>45317</v>
      </c>
      <c r="O110" s="4" t="str">
        <f>IFERROR(__xludf.DUMMYFUNCTION("""COMPUTED_VALUE"""),"Mumbai")</f>
        <v>Mumbai</v>
      </c>
    </row>
    <row r="111" ht="14.25" customHeight="1">
      <c r="J111" s="4" t="str">
        <f>IFERROR(__xludf.DUMMYFUNCTION("""COMPUTED_VALUE"""),"Ergonomic Chair")</f>
        <v>Ergonomic Chair</v>
      </c>
      <c r="K111" s="4">
        <f>IFERROR(__xludf.DUMMYFUNCTION("""COMPUTED_VALUE"""),12500.0)</f>
        <v>12500</v>
      </c>
      <c r="L111" s="4">
        <f>IFERROR(__xludf.DUMMYFUNCTION("""COMPUTED_VALUE"""),1.0)</f>
        <v>1</v>
      </c>
      <c r="M111" s="4">
        <f>IFERROR(__xludf.DUMMYFUNCTION("""COMPUTED_VALUE"""),12500.0)</f>
        <v>12500</v>
      </c>
      <c r="N111" s="10">
        <f>IFERROR(__xludf.DUMMYFUNCTION("""COMPUTED_VALUE"""),45391.0)</f>
        <v>45391</v>
      </c>
      <c r="O111" s="4" t="str">
        <f>IFERROR(__xludf.DUMMYFUNCTION("""COMPUTED_VALUE"""),"Mumbai")</f>
        <v>Mumbai</v>
      </c>
    </row>
    <row r="112" ht="14.25" customHeight="1">
      <c r="J112" s="4" t="str">
        <f>IFERROR(__xludf.DUMMYFUNCTION("""COMPUTED_VALUE"""),"USB Extension Cable")</f>
        <v>USB Extension Cable</v>
      </c>
      <c r="K112" s="4">
        <f>IFERROR(__xludf.DUMMYFUNCTION("""COMPUTED_VALUE"""),300.0)</f>
        <v>300</v>
      </c>
      <c r="L112" s="4">
        <f>IFERROR(__xludf.DUMMYFUNCTION("""COMPUTED_VALUE"""),4.0)</f>
        <v>4</v>
      </c>
      <c r="M112" s="4">
        <f>IFERROR(__xludf.DUMMYFUNCTION("""COMPUTED_VALUE"""),1200.0)</f>
        <v>1200</v>
      </c>
      <c r="N112" s="10">
        <f>IFERROR(__xludf.DUMMYFUNCTION("""COMPUTED_VALUE"""),45342.0)</f>
        <v>45342</v>
      </c>
      <c r="O112" s="4" t="str">
        <f>IFERROR(__xludf.DUMMYFUNCTION("""COMPUTED_VALUE"""),"Delhi")</f>
        <v>Delhi</v>
      </c>
    </row>
    <row r="113" ht="14.25" customHeight="1">
      <c r="J113" s="4" t="str">
        <f>IFERROR(__xludf.DUMMYFUNCTION("""COMPUTED_VALUE"""),"HDMI Cable 2m")</f>
        <v>HDMI Cable 2m</v>
      </c>
      <c r="K113" s="4">
        <f>IFERROR(__xludf.DUMMYFUNCTION("""COMPUTED_VALUE"""),700.0)</f>
        <v>700</v>
      </c>
      <c r="L113" s="4">
        <f>IFERROR(__xludf.DUMMYFUNCTION("""COMPUTED_VALUE"""),2.0)</f>
        <v>2</v>
      </c>
      <c r="M113" s="4">
        <f>IFERROR(__xludf.DUMMYFUNCTION("""COMPUTED_VALUE"""),1400.0)</f>
        <v>1400</v>
      </c>
      <c r="N113" s="10">
        <f>IFERROR(__xludf.DUMMYFUNCTION("""COMPUTED_VALUE"""),45312.0)</f>
        <v>45312</v>
      </c>
      <c r="O113" s="4" t="str">
        <f>IFERROR(__xludf.DUMMYFUNCTION("""COMPUTED_VALUE"""),"Mumbai")</f>
        <v>Mumbai</v>
      </c>
    </row>
    <row r="114" ht="14.25" customHeight="1">
      <c r="J114" s="4" t="str">
        <f>IFERROR(__xludf.DUMMYFUNCTION("""COMPUTED_VALUE"""),"Wireless Keyboard")</f>
        <v>Wireless Keyboard</v>
      </c>
      <c r="K114" s="4">
        <f>IFERROR(__xludf.DUMMYFUNCTION("""COMPUTED_VALUE"""),2200.0)</f>
        <v>2200</v>
      </c>
      <c r="L114" s="4">
        <f>IFERROR(__xludf.DUMMYFUNCTION("""COMPUTED_VALUE"""),2.0)</f>
        <v>2</v>
      </c>
      <c r="M114" s="4">
        <f>IFERROR(__xludf.DUMMYFUNCTION("""COMPUTED_VALUE"""),4400.0)</f>
        <v>4400</v>
      </c>
      <c r="N114" s="10">
        <f>IFERROR(__xludf.DUMMYFUNCTION("""COMPUTED_VALUE"""),45365.0)</f>
        <v>45365</v>
      </c>
      <c r="O114" s="4" t="str">
        <f>IFERROR(__xludf.DUMMYFUNCTION("""COMPUTED_VALUE"""),"Mumbai")</f>
        <v>Mumbai</v>
      </c>
    </row>
    <row r="115" ht="14.25" customHeight="1">
      <c r="J115" s="4" t="str">
        <f>IFERROR(__xludf.DUMMYFUNCTION("""COMPUTED_VALUE"""),"VR Headset")</f>
        <v>VR Headset</v>
      </c>
      <c r="K115" s="4">
        <f>IFERROR(__xludf.DUMMYFUNCTION("""COMPUTED_VALUE"""),16000.0)</f>
        <v>16000</v>
      </c>
      <c r="L115" s="4">
        <f>IFERROR(__xludf.DUMMYFUNCTION("""COMPUTED_VALUE"""),1.0)</f>
        <v>1</v>
      </c>
      <c r="M115" s="4">
        <f>IFERROR(__xludf.DUMMYFUNCTION("""COMPUTED_VALUE"""),16000.0)</f>
        <v>16000</v>
      </c>
      <c r="N115" s="10">
        <f>IFERROR(__xludf.DUMMYFUNCTION("""COMPUTED_VALUE"""),45350.0)</f>
        <v>45350</v>
      </c>
      <c r="O115" s="4" t="str">
        <f>IFERROR(__xludf.DUMMYFUNCTION("""COMPUTED_VALUE"""),"Delhi")</f>
        <v>Delhi</v>
      </c>
    </row>
    <row r="116" ht="14.25" customHeight="1">
      <c r="J116" s="4" t="str">
        <f>IFERROR(__xludf.DUMMYFUNCTION("""COMPUTED_VALUE"""),"Smart Thermostat")</f>
        <v>Smart Thermostat</v>
      </c>
      <c r="K116" s="4">
        <f>IFERROR(__xludf.DUMMYFUNCTION("""COMPUTED_VALUE"""),5500.0)</f>
        <v>5500</v>
      </c>
      <c r="L116" s="4">
        <f>IFERROR(__xludf.DUMMYFUNCTION("""COMPUTED_VALUE"""),1.0)</f>
        <v>1</v>
      </c>
      <c r="M116" s="4">
        <f>IFERROR(__xludf.DUMMYFUNCTION("""COMPUTED_VALUE"""),5500.0)</f>
        <v>5500</v>
      </c>
      <c r="N116" s="10">
        <f>IFERROR(__xludf.DUMMYFUNCTION("""COMPUTED_VALUE"""),45384.0)</f>
        <v>45384</v>
      </c>
      <c r="O116" s="4" t="str">
        <f>IFERROR(__xludf.DUMMYFUNCTION("""COMPUTED_VALUE"""),"Mumbai")</f>
        <v>Mumbai</v>
      </c>
    </row>
    <row r="117" ht="14.25" customHeight="1">
      <c r="J117" s="4" t="str">
        <f>IFERROR(__xludf.DUMMYFUNCTION("""COMPUTED_VALUE"""),"E-Book Reader")</f>
        <v>E-Book Reader</v>
      </c>
      <c r="K117" s="4">
        <f>IFERROR(__xludf.DUMMYFUNCTION("""COMPUTED_VALUE"""),11000.0)</f>
        <v>11000</v>
      </c>
      <c r="L117" s="4">
        <f>IFERROR(__xludf.DUMMYFUNCTION("""COMPUTED_VALUE"""),1.0)</f>
        <v>1</v>
      </c>
      <c r="M117" s="4">
        <f>IFERROR(__xludf.DUMMYFUNCTION("""COMPUTED_VALUE"""),11000.0)</f>
        <v>11000</v>
      </c>
      <c r="N117" s="10">
        <f>IFERROR(__xludf.DUMMYFUNCTION("""COMPUTED_VALUE"""),45331.0)</f>
        <v>45331</v>
      </c>
      <c r="O117" s="4" t="str">
        <f>IFERROR(__xludf.DUMMYFUNCTION("""COMPUTED_VALUE"""),"Mumbai")</f>
        <v>Mumbai</v>
      </c>
    </row>
    <row r="118" ht="14.25" customHeight="1">
      <c r="J118" s="4" t="str">
        <f>IFERROR(__xludf.DUMMYFUNCTION("""COMPUTED_VALUE"""),"Smart Door Lock")</f>
        <v>Smart Door Lock</v>
      </c>
      <c r="K118" s="4">
        <f>IFERROR(__xludf.DUMMYFUNCTION("""COMPUTED_VALUE"""),9000.0)</f>
        <v>9000</v>
      </c>
      <c r="L118" s="4">
        <f>IFERROR(__xludf.DUMMYFUNCTION("""COMPUTED_VALUE"""),1.0)</f>
        <v>1</v>
      </c>
      <c r="M118" s="4">
        <f>IFERROR(__xludf.DUMMYFUNCTION("""COMPUTED_VALUE"""),9000.0)</f>
        <v>9000</v>
      </c>
      <c r="N118" s="10">
        <f>IFERROR(__xludf.DUMMYFUNCTION("""COMPUTED_VALUE"""),45375.0)</f>
        <v>45375</v>
      </c>
      <c r="O118" s="4" t="str">
        <f>IFERROR(__xludf.DUMMYFUNCTION("""COMPUTED_VALUE"""),"Delhi")</f>
        <v>Delhi</v>
      </c>
    </row>
    <row r="119" ht="14.25" customHeight="1">
      <c r="J119" s="4" t="str">
        <f>IFERROR(__xludf.DUMMYFUNCTION("""COMPUTED_VALUE"""),"Digital Drawing Pad")</f>
        <v>Digital Drawing Pad</v>
      </c>
      <c r="K119" s="4">
        <f>IFERROR(__xludf.DUMMYFUNCTION("""COMPUTED_VALUE"""),6800.0)</f>
        <v>6800</v>
      </c>
      <c r="L119" s="4">
        <f>IFERROR(__xludf.DUMMYFUNCTION("""COMPUTED_VALUE"""),1.0)</f>
        <v>1</v>
      </c>
      <c r="M119" s="4">
        <f>IFERROR(__xludf.DUMMYFUNCTION("""COMPUTED_VALUE"""),6800.0)</f>
        <v>6800</v>
      </c>
      <c r="N119" s="10">
        <f>IFERROR(__xludf.DUMMYFUNCTION("""COMPUTED_VALUE"""),45361.0)</f>
        <v>45361</v>
      </c>
      <c r="O119" s="4" t="str">
        <f>IFERROR(__xludf.DUMMYFUNCTION("""COMPUTED_VALUE"""),"Delhi")</f>
        <v>Delhi</v>
      </c>
    </row>
    <row r="120" ht="14.25" customHeight="1">
      <c r="J120" s="4" t="str">
        <f>IFERROR(__xludf.DUMMYFUNCTION("""COMPUTED_VALUE"""),"Wireless Charging Pad")</f>
        <v>Wireless Charging Pad</v>
      </c>
      <c r="K120" s="4">
        <f>IFERROR(__xludf.DUMMYFUNCTION("""COMPUTED_VALUE"""),2000.0)</f>
        <v>2000</v>
      </c>
      <c r="L120" s="4">
        <f>IFERROR(__xludf.DUMMYFUNCTION("""COMPUTED_VALUE"""),2.0)</f>
        <v>2</v>
      </c>
      <c r="M120" s="4">
        <f>IFERROR(__xludf.DUMMYFUNCTION("""COMPUTED_VALUE"""),4000.0)</f>
        <v>4000</v>
      </c>
      <c r="N120" s="10">
        <f>IFERROR(__xludf.DUMMYFUNCTION("""COMPUTED_VALUE"""),45320.0)</f>
        <v>45320</v>
      </c>
      <c r="O120" s="4" t="str">
        <f>IFERROR(__xludf.DUMMYFUNCTION("""COMPUTED_VALUE"""),"Mumbai")</f>
        <v>Mumbai</v>
      </c>
    </row>
    <row r="121" ht="14.25" customHeight="1">
      <c r="J121" s="4" t="str">
        <f>IFERROR(__xludf.DUMMYFUNCTION("""COMPUTED_VALUE"""),"USB Microphone")</f>
        <v>USB Microphone</v>
      </c>
      <c r="K121" s="4">
        <f>IFERROR(__xludf.DUMMYFUNCTION("""COMPUTED_VALUE"""),5600.0)</f>
        <v>5600</v>
      </c>
      <c r="L121" s="4">
        <f>IFERROR(__xludf.DUMMYFUNCTION("""COMPUTED_VALUE"""),1.0)</f>
        <v>1</v>
      </c>
      <c r="M121" s="4">
        <f>IFERROR(__xludf.DUMMYFUNCTION("""COMPUTED_VALUE"""),5600.0)</f>
        <v>5600</v>
      </c>
      <c r="N121" s="10">
        <f>IFERROR(__xludf.DUMMYFUNCTION("""COMPUTED_VALUE"""),45389.0)</f>
        <v>45389</v>
      </c>
      <c r="O121" s="4" t="str">
        <f>IFERROR(__xludf.DUMMYFUNCTION("""COMPUTED_VALUE"""),"Delhi")</f>
        <v>Delhi</v>
      </c>
    </row>
    <row r="122" ht="14.25" customHeight="1">
      <c r="J122" s="4" t="str">
        <f>IFERROR(__xludf.DUMMYFUNCTION("""COMPUTED_VALUE"""),"External DVD Drive")</f>
        <v>External DVD Drive</v>
      </c>
      <c r="K122" s="4">
        <f>IFERROR(__xludf.DUMMYFUNCTION("""COMPUTED_VALUE"""),3800.0)</f>
        <v>3800</v>
      </c>
      <c r="L122" s="4">
        <f>IFERROR(__xludf.DUMMYFUNCTION("""COMPUTED_VALUE"""),1.0)</f>
        <v>1</v>
      </c>
      <c r="M122" s="4">
        <f>IFERROR(__xludf.DUMMYFUNCTION("""COMPUTED_VALUE"""),3800.0)</f>
        <v>3800</v>
      </c>
      <c r="N122" s="10">
        <f>IFERROR(__xludf.DUMMYFUNCTION("""COMPUTED_VALUE"""),45328.0)</f>
        <v>45328</v>
      </c>
      <c r="O122" s="4" t="str">
        <f>IFERROR(__xludf.DUMMYFUNCTION("""COMPUTED_VALUE"""),"Delhi")</f>
        <v>Delhi</v>
      </c>
    </row>
    <row r="123" ht="14.25" customHeight="1">
      <c r="J123" s="4" t="str">
        <f>IFERROR(__xludf.DUMMYFUNCTION("""COMPUTED_VALUE"""),"Robot Vacuum Cleaner")</f>
        <v>Robot Vacuum Cleaner</v>
      </c>
      <c r="K123" s="4">
        <f>IFERROR(__xludf.DUMMYFUNCTION("""COMPUTED_VALUE"""),20000.0)</f>
        <v>20000</v>
      </c>
      <c r="L123" s="4">
        <f>IFERROR(__xludf.DUMMYFUNCTION("""COMPUTED_VALUE"""),1.0)</f>
        <v>1</v>
      </c>
      <c r="M123" s="4">
        <f>IFERROR(__xludf.DUMMYFUNCTION("""COMPUTED_VALUE"""),20000.0)</f>
        <v>20000</v>
      </c>
      <c r="N123" s="10">
        <f>IFERROR(__xludf.DUMMYFUNCTION("""COMPUTED_VALUE"""),45379.0)</f>
        <v>45379</v>
      </c>
      <c r="O123" s="4" t="str">
        <f>IFERROR(__xludf.DUMMYFUNCTION("""COMPUTED_VALUE"""),"Delhi")</f>
        <v>Delhi</v>
      </c>
    </row>
    <row r="124" ht="14.25" customHeight="1">
      <c r="J124" s="4" t="str">
        <f>IFERROR(__xludf.DUMMYFUNCTION("""COMPUTED_VALUE"""),"Air Purifier")</f>
        <v>Air Purifier</v>
      </c>
      <c r="K124" s="4">
        <f>IFERROR(__xludf.DUMMYFUNCTION("""COMPUTED_VALUE"""),7000.0)</f>
        <v>7000</v>
      </c>
      <c r="L124" s="4">
        <f>IFERROR(__xludf.DUMMYFUNCTION("""COMPUTED_VALUE"""),1.0)</f>
        <v>1</v>
      </c>
      <c r="M124" s="4">
        <f>IFERROR(__xludf.DUMMYFUNCTION("""COMPUTED_VALUE"""),7000.0)</f>
        <v>7000</v>
      </c>
      <c r="N124" s="10">
        <f>IFERROR(__xludf.DUMMYFUNCTION("""COMPUTED_VALUE"""),45300.0)</f>
        <v>45300</v>
      </c>
      <c r="O124" s="4" t="str">
        <f>IFERROR(__xludf.DUMMYFUNCTION("""COMPUTED_VALUE"""),"Mumbai")</f>
        <v>Mumbai</v>
      </c>
    </row>
    <row r="125" ht="14.25" customHeight="1"/>
    <row r="126" ht="14.25" customHeight="1">
      <c r="K126" s="10"/>
    </row>
    <row r="127" ht="14.25" customHeight="1"/>
    <row r="128" ht="14.25" customHeight="1">
      <c r="J128" s="17" t="s">
        <v>79</v>
      </c>
      <c r="K128" s="19" t="str">
        <f>FORMULATEXT(J129)</f>
        <v>=filter(B2:G44,(Weekday(F2:F44)=1)+ (Weekday(F2:F44)=7))</v>
      </c>
      <c r="L128" s="6"/>
      <c r="M128" s="6"/>
      <c r="N128" s="6"/>
      <c r="O128" s="6"/>
      <c r="P128" s="6"/>
      <c r="Q128" s="7"/>
    </row>
    <row r="129" ht="14.25" customHeight="1">
      <c r="J129" s="10" t="str">
        <f>IFERROR(__xludf.DUMMYFUNCTION("filter(B2:G44,(Weekday(F2:F44)=1)+ (Weekday(F2:F44)=7))"),"Mechanical Keyboard")</f>
        <v>Mechanical Keyboard</v>
      </c>
      <c r="K129" s="4">
        <f>IFERROR(__xludf.DUMMYFUNCTION("""COMPUTED_VALUE"""),1200.0)</f>
        <v>1200</v>
      </c>
      <c r="L129" s="4">
        <f>IFERROR(__xludf.DUMMYFUNCTION("""COMPUTED_VALUE"""),1.0)</f>
        <v>1</v>
      </c>
      <c r="M129" s="4">
        <f>IFERROR(__xludf.DUMMYFUNCTION("""COMPUTED_VALUE"""),1200.0)</f>
        <v>1200</v>
      </c>
      <c r="N129" s="10">
        <f>IFERROR(__xludf.DUMMYFUNCTION("""COMPUTED_VALUE"""),45332.0)</f>
        <v>45332</v>
      </c>
      <c r="O129" s="4" t="str">
        <f>IFERROR(__xludf.DUMMYFUNCTION("""COMPUTED_VALUE"""),"Mumbai")</f>
        <v>Mumbai</v>
      </c>
    </row>
    <row r="130" ht="14.25" customHeight="1">
      <c r="J130" s="10" t="str">
        <f>IFERROR(__xludf.DUMMYFUNCTION("""COMPUTED_VALUE"""),"USB Flash Drive 32GB")</f>
        <v>USB Flash Drive 32GB</v>
      </c>
      <c r="K130" s="4">
        <f>IFERROR(__xludf.DUMMYFUNCTION("""COMPUTED_VALUE"""),600.0)</f>
        <v>600</v>
      </c>
      <c r="L130" s="4">
        <f>IFERROR(__xludf.DUMMYFUNCTION("""COMPUTED_VALUE"""),3.0)</f>
        <v>3</v>
      </c>
      <c r="M130" s="4">
        <f>IFERROR(__xludf.DUMMYFUNCTION("""COMPUTED_VALUE"""),1800.0)</f>
        <v>1800</v>
      </c>
      <c r="N130" s="10">
        <f>IFERROR(__xludf.DUMMYFUNCTION("""COMPUTED_VALUE"""),45353.0)</f>
        <v>45353</v>
      </c>
      <c r="O130" s="4" t="str">
        <f>IFERROR(__xludf.DUMMYFUNCTION("""COMPUTED_VALUE"""),"Noida")</f>
        <v>Noida</v>
      </c>
    </row>
    <row r="131" ht="14.25" customHeight="1">
      <c r="J131" s="10" t="str">
        <f>IFERROR(__xludf.DUMMYFUNCTION("""COMPUTED_VALUE"""),"LED Desk Lamp")</f>
        <v>LED Desk Lamp</v>
      </c>
      <c r="K131" s="4">
        <f>IFERROR(__xludf.DUMMYFUNCTION("""COMPUTED_VALUE"""),1200.0)</f>
        <v>1200</v>
      </c>
      <c r="L131" s="4">
        <f>IFERROR(__xludf.DUMMYFUNCTION("""COMPUTED_VALUE"""),2.0)</f>
        <v>2</v>
      </c>
      <c r="M131" s="4">
        <f>IFERROR(__xludf.DUMMYFUNCTION("""COMPUTED_VALUE"""),2400.0)</f>
        <v>2400</v>
      </c>
      <c r="N131" s="10">
        <f>IFERROR(__xludf.DUMMYFUNCTION("""COMPUTED_VALUE"""),45305.0)</f>
        <v>45305</v>
      </c>
      <c r="O131" s="4" t="str">
        <f>IFERROR(__xludf.DUMMYFUNCTION("""COMPUTED_VALUE"""),"Delhi")</f>
        <v>Delhi</v>
      </c>
    </row>
    <row r="132" ht="14.25" customHeight="1">
      <c r="J132" s="10" t="str">
        <f>IFERROR(__xludf.DUMMYFUNCTION("""COMPUTED_VALUE"""),"USB-C Hub")</f>
        <v>USB-C Hub</v>
      </c>
      <c r="K132" s="4">
        <f>IFERROR(__xludf.DUMMYFUNCTION("""COMPUTED_VALUE"""),1500.0)</f>
        <v>1500</v>
      </c>
      <c r="L132" s="4">
        <f>IFERROR(__xludf.DUMMYFUNCTION("""COMPUTED_VALUE"""),2.0)</f>
        <v>2</v>
      </c>
      <c r="M132" s="4">
        <f>IFERROR(__xludf.DUMMYFUNCTION("""COMPUTED_VALUE"""),3000.0)</f>
        <v>3000</v>
      </c>
      <c r="N132" s="10">
        <f>IFERROR(__xludf.DUMMYFUNCTION("""COMPUTED_VALUE"""),45347.0)</f>
        <v>45347</v>
      </c>
      <c r="O132" s="4" t="str">
        <f>IFERROR(__xludf.DUMMYFUNCTION("""COMPUTED_VALUE"""),"Mumbai")</f>
        <v>Mumbai</v>
      </c>
    </row>
    <row r="133" ht="14.25" customHeight="1">
      <c r="J133" s="10" t="str">
        <f>IFERROR(__xludf.DUMMYFUNCTION("""COMPUTED_VALUE"""),"Mechanical Pencil")</f>
        <v>Mechanical Pencil</v>
      </c>
      <c r="K133" s="4">
        <f>IFERROR(__xludf.DUMMYFUNCTION("""COMPUTED_VALUE"""),150.0)</f>
        <v>150</v>
      </c>
      <c r="L133" s="4">
        <f>IFERROR(__xludf.DUMMYFUNCTION("""COMPUTED_VALUE"""),5.0)</f>
        <v>5</v>
      </c>
      <c r="M133" s="4">
        <f>IFERROR(__xludf.DUMMYFUNCTION("""COMPUTED_VALUE"""),750.0)</f>
        <v>750</v>
      </c>
      <c r="N133" s="10">
        <f>IFERROR(__xludf.DUMMYFUNCTION("""COMPUTED_VALUE"""),45388.0)</f>
        <v>45388</v>
      </c>
      <c r="O133" s="4" t="str">
        <f>IFERROR(__xludf.DUMMYFUNCTION("""COMPUTED_VALUE"""),"Pune")</f>
        <v>Pune</v>
      </c>
    </row>
    <row r="134" ht="14.25" customHeight="1">
      <c r="J134" s="10" t="str">
        <f>IFERROR(__xludf.DUMMYFUNCTION("""COMPUTED_VALUE"""),"Noise Cancelling Headphones")</f>
        <v>Noise Cancelling Headphones</v>
      </c>
      <c r="K134" s="4">
        <f>IFERROR(__xludf.DUMMYFUNCTION("""COMPUTED_VALUE"""),8500.0)</f>
        <v>8500</v>
      </c>
      <c r="L134" s="4">
        <f>IFERROR(__xludf.DUMMYFUNCTION("""COMPUTED_VALUE"""),1.0)</f>
        <v>1</v>
      </c>
      <c r="M134" s="4">
        <f>IFERROR(__xludf.DUMMYFUNCTION("""COMPUTED_VALUE"""),8500.0)</f>
        <v>8500</v>
      </c>
      <c r="N134" s="10">
        <f>IFERROR(__xludf.DUMMYFUNCTION("""COMPUTED_VALUE"""),45339.0)</f>
        <v>45339</v>
      </c>
      <c r="O134" s="4" t="str">
        <f>IFERROR(__xludf.DUMMYFUNCTION("""COMPUTED_VALUE"""),"Mumbai")</f>
        <v>Mumbai</v>
      </c>
    </row>
    <row r="135" ht="14.25" customHeight="1">
      <c r="J135" s="10" t="str">
        <f>IFERROR(__xludf.DUMMYFUNCTION("""COMPUTED_VALUE"""),"HDMI Cable 2m")</f>
        <v>HDMI Cable 2m</v>
      </c>
      <c r="K135" s="4">
        <f>IFERROR(__xludf.DUMMYFUNCTION("""COMPUTED_VALUE"""),700.0)</f>
        <v>700</v>
      </c>
      <c r="L135" s="4">
        <f>IFERROR(__xludf.DUMMYFUNCTION("""COMPUTED_VALUE"""),2.0)</f>
        <v>2</v>
      </c>
      <c r="M135" s="4">
        <f>IFERROR(__xludf.DUMMYFUNCTION("""COMPUTED_VALUE"""),1400.0)</f>
        <v>1400</v>
      </c>
      <c r="N135" s="10">
        <f>IFERROR(__xludf.DUMMYFUNCTION("""COMPUTED_VALUE"""),45312.0)</f>
        <v>45312</v>
      </c>
      <c r="O135" s="4" t="str">
        <f>IFERROR(__xludf.DUMMYFUNCTION("""COMPUTED_VALUE"""),"Mumbai")</f>
        <v>Mumbai</v>
      </c>
    </row>
    <row r="136" ht="14.25" customHeight="1">
      <c r="J136" s="4" t="str">
        <f>IFERROR(__xludf.DUMMYFUNCTION("""COMPUTED_VALUE"""),"Noise Reduction Earplugs")</f>
        <v>Noise Reduction Earplugs</v>
      </c>
      <c r="K136" s="4">
        <f>IFERROR(__xludf.DUMMYFUNCTION("""COMPUTED_VALUE"""),600.0)</f>
        <v>600</v>
      </c>
      <c r="L136" s="4">
        <f>IFERROR(__xludf.DUMMYFUNCTION("""COMPUTED_VALUE"""),3.0)</f>
        <v>3</v>
      </c>
      <c r="M136" s="4">
        <f>IFERROR(__xludf.DUMMYFUNCTION("""COMPUTED_VALUE"""),1800.0)</f>
        <v>1800</v>
      </c>
      <c r="N136" s="10">
        <f>IFERROR(__xludf.DUMMYFUNCTION("""COMPUTED_VALUE"""),45298.0)</f>
        <v>45298</v>
      </c>
      <c r="O136" s="4" t="str">
        <f>IFERROR(__xludf.DUMMYFUNCTION("""COMPUTED_VALUE"""),"Pune")</f>
        <v>Pune</v>
      </c>
    </row>
    <row r="137" ht="14.25" customHeight="1">
      <c r="J137" s="4" t="str">
        <f>IFERROR(__xludf.DUMMYFUNCTION("""COMPUTED_VALUE"""),"Smart Door Lock")</f>
        <v>Smart Door Lock</v>
      </c>
      <c r="K137" s="4">
        <f>IFERROR(__xludf.DUMMYFUNCTION("""COMPUTED_VALUE"""),9000.0)</f>
        <v>9000</v>
      </c>
      <c r="L137" s="4">
        <f>IFERROR(__xludf.DUMMYFUNCTION("""COMPUTED_VALUE"""),1.0)</f>
        <v>1</v>
      </c>
      <c r="M137" s="4">
        <f>IFERROR(__xludf.DUMMYFUNCTION("""COMPUTED_VALUE"""),9000.0)</f>
        <v>9000</v>
      </c>
      <c r="N137" s="10">
        <f>IFERROR(__xludf.DUMMYFUNCTION("""COMPUTED_VALUE"""),45375.0)</f>
        <v>45375</v>
      </c>
      <c r="O137" s="4" t="str">
        <f>IFERROR(__xludf.DUMMYFUNCTION("""COMPUTED_VALUE"""),"Delhi")</f>
        <v>Delhi</v>
      </c>
    </row>
    <row r="138" ht="14.25" customHeight="1">
      <c r="J138" s="4" t="str">
        <f>IFERROR(__xludf.DUMMYFUNCTION("""COMPUTED_VALUE"""),"Electric Toothbrush")</f>
        <v>Electric Toothbrush</v>
      </c>
      <c r="K138" s="4">
        <f>IFERROR(__xludf.DUMMYFUNCTION("""COMPUTED_VALUE"""),2700.0)</f>
        <v>2700</v>
      </c>
      <c r="L138" s="4">
        <f>IFERROR(__xludf.DUMMYFUNCTION("""COMPUTED_VALUE"""),1.0)</f>
        <v>1</v>
      </c>
      <c r="M138" s="4">
        <f>IFERROR(__xludf.DUMMYFUNCTION("""COMPUTED_VALUE"""),2700.0)</f>
        <v>2700</v>
      </c>
      <c r="N138" s="10">
        <f>IFERROR(__xludf.DUMMYFUNCTION("""COMPUTED_VALUE"""),45354.0)</f>
        <v>45354</v>
      </c>
      <c r="O138" s="4" t="str">
        <f>IFERROR(__xludf.DUMMYFUNCTION("""COMPUTED_VALUE"""),"Noida")</f>
        <v>Noida</v>
      </c>
    </row>
    <row r="139" ht="14.25" customHeight="1">
      <c r="J139" s="4" t="str">
        <f>IFERROR(__xludf.DUMMYFUNCTION("""COMPUTED_VALUE"""),"Digital Drawing Pad")</f>
        <v>Digital Drawing Pad</v>
      </c>
      <c r="K139" s="4">
        <f>IFERROR(__xludf.DUMMYFUNCTION("""COMPUTED_VALUE"""),6800.0)</f>
        <v>6800</v>
      </c>
      <c r="L139" s="4">
        <f>IFERROR(__xludf.DUMMYFUNCTION("""COMPUTED_VALUE"""),1.0)</f>
        <v>1</v>
      </c>
      <c r="M139" s="4">
        <f>IFERROR(__xludf.DUMMYFUNCTION("""COMPUTED_VALUE"""),6800.0)</f>
        <v>6800</v>
      </c>
      <c r="N139" s="10">
        <f>IFERROR(__xludf.DUMMYFUNCTION("""COMPUTED_VALUE"""),45361.0)</f>
        <v>45361</v>
      </c>
      <c r="O139" s="4" t="str">
        <f>IFERROR(__xludf.DUMMYFUNCTION("""COMPUTED_VALUE"""),"Delhi")</f>
        <v>Delhi</v>
      </c>
    </row>
    <row r="140" ht="14.25" customHeight="1">
      <c r="J140" s="4" t="str">
        <f>IFERROR(__xludf.DUMMYFUNCTION("""COMPUTED_VALUE"""),"USB Microphone")</f>
        <v>USB Microphone</v>
      </c>
      <c r="K140" s="4">
        <f>IFERROR(__xludf.DUMMYFUNCTION("""COMPUTED_VALUE"""),5600.0)</f>
        <v>5600</v>
      </c>
      <c r="L140" s="4">
        <f>IFERROR(__xludf.DUMMYFUNCTION("""COMPUTED_VALUE"""),1.0)</f>
        <v>1</v>
      </c>
      <c r="M140" s="4">
        <f>IFERROR(__xludf.DUMMYFUNCTION("""COMPUTED_VALUE"""),5600.0)</f>
        <v>5600</v>
      </c>
      <c r="N140" s="10">
        <f>IFERROR(__xludf.DUMMYFUNCTION("""COMPUTED_VALUE"""),45389.0)</f>
        <v>45389</v>
      </c>
      <c r="O140" s="4" t="str">
        <f>IFERROR(__xludf.DUMMYFUNCTION("""COMPUTED_VALUE"""),"Delhi")</f>
        <v>Delhi</v>
      </c>
    </row>
    <row r="141" ht="14.25" customHeight="1">
      <c r="J141" s="4" t="str">
        <f>IFERROR(__xludf.DUMMYFUNCTION("""COMPUTED_VALUE"""),"Noise Blocking Headphones")</f>
        <v>Noise Blocking Headphones</v>
      </c>
      <c r="K141" s="4">
        <f>IFERROR(__xludf.DUMMYFUNCTION("""COMPUTED_VALUE"""),6200.0)</f>
        <v>6200</v>
      </c>
      <c r="L141" s="4">
        <f>IFERROR(__xludf.DUMMYFUNCTION("""COMPUTED_VALUE"""),1.0)</f>
        <v>1</v>
      </c>
      <c r="M141" s="4">
        <f>IFERROR(__xludf.DUMMYFUNCTION("""COMPUTED_VALUE"""),6200.0)</f>
        <v>6200</v>
      </c>
      <c r="N141" s="10">
        <f>IFERROR(__xludf.DUMMYFUNCTION("""COMPUTED_VALUE"""),45368.0)</f>
        <v>45368</v>
      </c>
      <c r="O141" s="4" t="str">
        <f>IFERROR(__xludf.DUMMYFUNCTION("""COMPUTED_VALUE"""),"Pune")</f>
        <v>Pune</v>
      </c>
    </row>
    <row r="142" ht="14.25" customHeight="1"/>
    <row r="143" ht="14.25" customHeight="1"/>
    <row r="144" ht="14.25" customHeight="1"/>
    <row r="145" ht="14.25" customHeight="1">
      <c r="J145" s="22" t="s">
        <v>80</v>
      </c>
      <c r="K145" s="23" t="str">
        <f>FORMULATEXT(J146)</f>
        <v>=Filter(B2:G44, Search("Smart",B2:B44,1)&gt;=1)</v>
      </c>
      <c r="L145" s="24"/>
      <c r="M145" s="24"/>
      <c r="N145" s="24"/>
      <c r="O145" s="24"/>
    </row>
    <row r="146" ht="14.25" customHeight="1">
      <c r="J146" s="15" t="str">
        <f>IFERROR(__xludf.DUMMYFUNCTION("Filter(B2:G44, Search(""Smart"",B2:B44,1)&gt;=1)"),"Smartphone Charger")</f>
        <v>Smartphone Charger</v>
      </c>
      <c r="K146" s="15">
        <f>IFERROR(__xludf.DUMMYFUNCTION("""COMPUTED_VALUE"""),500.0)</f>
        <v>500</v>
      </c>
      <c r="L146" s="15">
        <f>IFERROR(__xludf.DUMMYFUNCTION("""COMPUTED_VALUE"""),3.0)</f>
        <v>3</v>
      </c>
      <c r="M146" s="15">
        <f>IFERROR(__xludf.DUMMYFUNCTION("""COMPUTED_VALUE"""),1500.0)</f>
        <v>1500</v>
      </c>
      <c r="N146" s="10">
        <f>IFERROR(__xludf.DUMMYFUNCTION("""COMPUTED_VALUE"""),45369.0)</f>
        <v>45369</v>
      </c>
      <c r="O146" s="15" t="str">
        <f>IFERROR(__xludf.DUMMYFUNCTION("""COMPUTED_VALUE"""),"Pune")</f>
        <v>Pune</v>
      </c>
      <c r="P146" s="15"/>
      <c r="Q146" s="15"/>
      <c r="R146" s="15"/>
      <c r="S146" s="15"/>
      <c r="T146" s="15"/>
    </row>
    <row r="147" ht="14.25" customHeight="1">
      <c r="J147" s="4" t="str">
        <f>IFERROR(__xludf.DUMMYFUNCTION("""COMPUTED_VALUE"""),"Smartwatch")</f>
        <v>Smartwatch</v>
      </c>
      <c r="K147" s="4">
        <f>IFERROR(__xludf.DUMMYFUNCTION("""COMPUTED_VALUE"""),3500.0)</f>
        <v>3500</v>
      </c>
      <c r="L147" s="4">
        <f>IFERROR(__xludf.DUMMYFUNCTION("""COMPUTED_VALUE"""),1.0)</f>
        <v>1</v>
      </c>
      <c r="M147" s="4">
        <f>IFERROR(__xludf.DUMMYFUNCTION("""COMPUTED_VALUE"""),3500.0)</f>
        <v>3500</v>
      </c>
      <c r="N147" s="18">
        <f>IFERROR(__xludf.DUMMYFUNCTION("""COMPUTED_VALUE"""),45383.0)</f>
        <v>45383</v>
      </c>
      <c r="O147" s="4" t="str">
        <f>IFERROR(__xludf.DUMMYFUNCTION("""COMPUTED_VALUE"""),"Mumbai")</f>
        <v>Mumbai</v>
      </c>
    </row>
    <row r="148" ht="14.25" customHeight="1">
      <c r="J148" s="4" t="str">
        <f>IFERROR(__xludf.DUMMYFUNCTION("""COMPUTED_VALUE"""),"Smart Bulb")</f>
        <v>Smart Bulb</v>
      </c>
      <c r="K148" s="4">
        <f>IFERROR(__xludf.DUMMYFUNCTION("""COMPUTED_VALUE"""),900.0)</f>
        <v>900</v>
      </c>
      <c r="L148" s="4">
        <f>IFERROR(__xludf.DUMMYFUNCTION("""COMPUTED_VALUE"""),3.0)</f>
        <v>3</v>
      </c>
      <c r="M148" s="4">
        <f>IFERROR(__xludf.DUMMYFUNCTION("""COMPUTED_VALUE"""),2700.0)</f>
        <v>2700</v>
      </c>
      <c r="N148" s="18">
        <f>IFERROR(__xludf.DUMMYFUNCTION("""COMPUTED_VALUE"""),45317.0)</f>
        <v>45317</v>
      </c>
      <c r="O148" s="4" t="str">
        <f>IFERROR(__xludf.DUMMYFUNCTION("""COMPUTED_VALUE"""),"Mumbai")</f>
        <v>Mumbai</v>
      </c>
    </row>
    <row r="149" ht="14.25" customHeight="1">
      <c r="J149" s="4" t="str">
        <f>IFERROR(__xludf.DUMMYFUNCTION("""COMPUTED_VALUE"""),"Smart Thermostat")</f>
        <v>Smart Thermostat</v>
      </c>
      <c r="K149" s="4">
        <f>IFERROR(__xludf.DUMMYFUNCTION("""COMPUTED_VALUE"""),5500.0)</f>
        <v>5500</v>
      </c>
      <c r="L149" s="4">
        <f>IFERROR(__xludf.DUMMYFUNCTION("""COMPUTED_VALUE"""),1.0)</f>
        <v>1</v>
      </c>
      <c r="M149" s="4">
        <f>IFERROR(__xludf.DUMMYFUNCTION("""COMPUTED_VALUE"""),5500.0)</f>
        <v>5500</v>
      </c>
      <c r="N149" s="18">
        <f>IFERROR(__xludf.DUMMYFUNCTION("""COMPUTED_VALUE"""),45384.0)</f>
        <v>45384</v>
      </c>
      <c r="O149" s="4" t="str">
        <f>IFERROR(__xludf.DUMMYFUNCTION("""COMPUTED_VALUE"""),"Mumbai")</f>
        <v>Mumbai</v>
      </c>
    </row>
    <row r="150" ht="14.25" customHeight="1">
      <c r="J150" s="4" t="str">
        <f>IFERROR(__xludf.DUMMYFUNCTION("""COMPUTED_VALUE"""),"Smart Door Lock")</f>
        <v>Smart Door Lock</v>
      </c>
      <c r="K150" s="4">
        <f>IFERROR(__xludf.DUMMYFUNCTION("""COMPUTED_VALUE"""),9000.0)</f>
        <v>9000</v>
      </c>
      <c r="L150" s="4">
        <f>IFERROR(__xludf.DUMMYFUNCTION("""COMPUTED_VALUE"""),1.0)</f>
        <v>1</v>
      </c>
      <c r="M150" s="4">
        <f>IFERROR(__xludf.DUMMYFUNCTION("""COMPUTED_VALUE"""),9000.0)</f>
        <v>9000</v>
      </c>
      <c r="N150" s="18">
        <f>IFERROR(__xludf.DUMMYFUNCTION("""COMPUTED_VALUE"""),45375.0)</f>
        <v>45375</v>
      </c>
      <c r="O150" s="4" t="str">
        <f>IFERROR(__xludf.DUMMYFUNCTION("""COMPUTED_VALUE"""),"Delhi")</f>
        <v>Delhi</v>
      </c>
    </row>
    <row r="151" ht="14.25" customHeight="1">
      <c r="J151" s="4" t="str">
        <f>IFERROR(__xludf.DUMMYFUNCTION("""COMPUTED_VALUE"""),"Smart Security Camera")</f>
        <v>Smart Security Camera</v>
      </c>
      <c r="K151" s="4">
        <f>IFERROR(__xludf.DUMMYFUNCTION("""COMPUTED_VALUE"""),8500.0)</f>
        <v>8500</v>
      </c>
      <c r="L151" s="4">
        <f>IFERROR(__xludf.DUMMYFUNCTION("""COMPUTED_VALUE"""),1.0)</f>
        <v>1</v>
      </c>
      <c r="M151" s="4">
        <f>IFERROR(__xludf.DUMMYFUNCTION("""COMPUTED_VALUE"""),8500.0)</f>
        <v>8500</v>
      </c>
      <c r="N151" s="18">
        <f>IFERROR(__xludf.DUMMYFUNCTION("""COMPUTED_VALUE"""),45336.0)</f>
        <v>45336</v>
      </c>
      <c r="O151" s="4" t="str">
        <f>IFERROR(__xludf.DUMMYFUNCTION("""COMPUTED_VALUE"""),"Noida")</f>
        <v>Noida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G$44"/>
  <mergeCells count="15">
    <mergeCell ref="J19:P19"/>
    <mergeCell ref="K33:O33"/>
    <mergeCell ref="K51:P51"/>
    <mergeCell ref="K57:P57"/>
    <mergeCell ref="K68:R68"/>
    <mergeCell ref="K78:O78"/>
    <mergeCell ref="K99:O99"/>
    <mergeCell ref="K128:Q128"/>
    <mergeCell ref="J2:M2"/>
    <mergeCell ref="J4:P4"/>
    <mergeCell ref="J6:P6"/>
    <mergeCell ref="J8:P8"/>
    <mergeCell ref="J10:Q10"/>
    <mergeCell ref="J13:M13"/>
    <mergeCell ref="J16:P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57"/>
    <col customWidth="1" min="3" max="5" width="8.71"/>
    <col customWidth="1" min="6" max="6" width="14.14"/>
    <col customWidth="1" min="7" max="9" width="8.71"/>
    <col customWidth="1" min="10" max="10" width="14.43"/>
    <col customWidth="1" min="11" max="13" width="8.71"/>
    <col customWidth="1" min="14" max="14" width="11.57"/>
    <col customWidth="1" min="15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8.0" customHeight="1">
      <c r="B2" s="2" t="s">
        <v>6</v>
      </c>
      <c r="C2" s="2">
        <v>450.0</v>
      </c>
      <c r="D2" s="2">
        <v>2.0</v>
      </c>
      <c r="E2" s="2">
        <v>900.0</v>
      </c>
      <c r="F2" s="3">
        <v>45296.0</v>
      </c>
      <c r="G2" s="4" t="s">
        <v>8</v>
      </c>
      <c r="J2" s="4" t="s">
        <v>9</v>
      </c>
    </row>
    <row r="3" ht="18.0" customHeight="1">
      <c r="B3" s="2" t="s">
        <v>11</v>
      </c>
      <c r="C3" s="2">
        <v>1200.0</v>
      </c>
      <c r="D3" s="2">
        <v>1.0</v>
      </c>
      <c r="E3" s="2">
        <v>1200.0</v>
      </c>
      <c r="F3" s="3">
        <v>45332.0</v>
      </c>
      <c r="G3" s="4" t="s">
        <v>12</v>
      </c>
    </row>
    <row r="4" ht="15.0" customHeight="1">
      <c r="B4" s="2" t="s">
        <v>13</v>
      </c>
      <c r="C4" s="2">
        <v>1800.0</v>
      </c>
      <c r="D4" s="2">
        <v>2.0</v>
      </c>
      <c r="E4" s="2">
        <v>3600.0</v>
      </c>
      <c r="F4" s="3">
        <v>45313.0</v>
      </c>
      <c r="G4" s="4" t="s">
        <v>14</v>
      </c>
    </row>
    <row r="5" ht="20.25" customHeight="1">
      <c r="B5" s="2" t="s">
        <v>15</v>
      </c>
      <c r="C5" s="2">
        <v>600.0</v>
      </c>
      <c r="D5" s="2">
        <v>3.0</v>
      </c>
      <c r="E5" s="2">
        <v>1800.0</v>
      </c>
      <c r="F5" s="3">
        <v>45353.0</v>
      </c>
      <c r="G5" s="4" t="s">
        <v>16</v>
      </c>
      <c r="J5" s="8" t="s">
        <v>17</v>
      </c>
    </row>
    <row r="6" ht="18.0" customHeight="1">
      <c r="B6" s="2" t="s">
        <v>18</v>
      </c>
      <c r="C6" s="2">
        <v>750.0</v>
      </c>
      <c r="D6" s="2">
        <v>1.0</v>
      </c>
      <c r="E6" s="2">
        <v>750.0</v>
      </c>
      <c r="F6" s="3">
        <v>45337.0</v>
      </c>
      <c r="G6" s="4" t="s">
        <v>8</v>
      </c>
    </row>
    <row r="7" ht="16.5" customHeight="1">
      <c r="B7" s="2" t="s">
        <v>19</v>
      </c>
      <c r="C7" s="2">
        <v>2000.0</v>
      </c>
      <c r="D7" s="2">
        <v>2.0</v>
      </c>
      <c r="E7" s="2">
        <v>4000.0</v>
      </c>
      <c r="F7" s="3">
        <v>45299.0</v>
      </c>
      <c r="G7" s="4" t="s">
        <v>16</v>
      </c>
    </row>
    <row r="8" ht="15.75" customHeight="1">
      <c r="B8" s="2" t="s">
        <v>21</v>
      </c>
      <c r="C8" s="2">
        <v>500.0</v>
      </c>
      <c r="D8" s="2">
        <v>3.0</v>
      </c>
      <c r="E8" s="2">
        <v>1500.0</v>
      </c>
      <c r="F8" s="3">
        <v>45369.0</v>
      </c>
      <c r="G8" s="4" t="s">
        <v>14</v>
      </c>
      <c r="J8" s="4" t="s">
        <v>22</v>
      </c>
    </row>
    <row r="9" ht="21.0" customHeight="1">
      <c r="B9" s="2" t="s">
        <v>23</v>
      </c>
      <c r="C9" s="2">
        <v>1200.0</v>
      </c>
      <c r="D9" s="2">
        <v>2.0</v>
      </c>
      <c r="E9" s="2">
        <v>2400.0</v>
      </c>
      <c r="F9" s="3">
        <v>45349.0</v>
      </c>
      <c r="G9" s="4" t="s">
        <v>14</v>
      </c>
      <c r="J9" s="9" t="s">
        <v>24</v>
      </c>
    </row>
    <row r="10" ht="18.0" customHeight="1">
      <c r="B10" s="2" t="s">
        <v>26</v>
      </c>
      <c r="C10" s="2">
        <v>3500.0</v>
      </c>
      <c r="D10" s="2">
        <v>1.0</v>
      </c>
      <c r="E10" s="2">
        <v>3500.0</v>
      </c>
      <c r="F10" s="3">
        <v>45383.0</v>
      </c>
      <c r="G10" s="4" t="s">
        <v>12</v>
      </c>
    </row>
    <row r="11" ht="16.5" customHeight="1">
      <c r="B11" s="2" t="s">
        <v>27</v>
      </c>
      <c r="C11" s="2">
        <v>4500.0</v>
      </c>
      <c r="D11" s="2">
        <v>1.0</v>
      </c>
      <c r="E11" s="2">
        <v>4500.0</v>
      </c>
      <c r="F11" s="3">
        <v>45321.0</v>
      </c>
      <c r="G11" s="4" t="s">
        <v>8</v>
      </c>
      <c r="J11" s="4" t="s">
        <v>28</v>
      </c>
    </row>
    <row r="12" ht="18.0" customHeight="1">
      <c r="B12" s="2" t="s">
        <v>29</v>
      </c>
      <c r="C12" s="2">
        <v>5800.0</v>
      </c>
      <c r="D12" s="2">
        <v>1.0</v>
      </c>
      <c r="E12" s="2">
        <v>5800.0</v>
      </c>
      <c r="F12" s="3">
        <v>45334.0</v>
      </c>
      <c r="G12" s="4" t="s">
        <v>16</v>
      </c>
    </row>
    <row r="13" ht="18.0" customHeight="1">
      <c r="B13" s="2" t="s">
        <v>30</v>
      </c>
      <c r="C13" s="2">
        <v>2500.0</v>
      </c>
      <c r="D13" s="2">
        <v>2.0</v>
      </c>
      <c r="E13" s="2">
        <v>5000.0</v>
      </c>
      <c r="F13" s="3">
        <v>45371.0</v>
      </c>
      <c r="G13" s="4" t="s">
        <v>16</v>
      </c>
    </row>
    <row r="14" ht="21.0" customHeight="1">
      <c r="B14" s="2" t="s">
        <v>32</v>
      </c>
      <c r="C14" s="2">
        <v>1200.0</v>
      </c>
      <c r="D14" s="2">
        <v>2.0</v>
      </c>
      <c r="E14" s="2">
        <v>2400.0</v>
      </c>
      <c r="F14" s="3">
        <v>45305.0</v>
      </c>
      <c r="G14" s="4" t="s">
        <v>8</v>
      </c>
      <c r="J14" s="4" t="s">
        <v>33</v>
      </c>
    </row>
    <row r="15" ht="18.0" customHeight="1">
      <c r="B15" s="2" t="s">
        <v>34</v>
      </c>
      <c r="C15" s="2">
        <v>7200.0</v>
      </c>
      <c r="D15" s="2">
        <v>1.0</v>
      </c>
      <c r="E15" s="2">
        <v>7200.0</v>
      </c>
      <c r="F15" s="3">
        <v>45356.0</v>
      </c>
      <c r="G15" s="4" t="s">
        <v>8</v>
      </c>
      <c r="N15" s="10"/>
    </row>
    <row r="16" ht="17.25" customHeight="1">
      <c r="B16" s="2" t="s">
        <v>36</v>
      </c>
      <c r="C16" s="2">
        <v>1500.0</v>
      </c>
      <c r="D16" s="2">
        <v>2.0</v>
      </c>
      <c r="E16" s="2">
        <v>3000.0</v>
      </c>
      <c r="F16" s="3">
        <v>45347.0</v>
      </c>
      <c r="G16" s="4" t="s">
        <v>12</v>
      </c>
      <c r="N16" s="10"/>
    </row>
    <row r="17" ht="17.25" customHeight="1">
      <c r="B17" s="2" t="s">
        <v>37</v>
      </c>
      <c r="C17" s="2">
        <v>150.0</v>
      </c>
      <c r="D17" s="2">
        <v>5.0</v>
      </c>
      <c r="E17" s="2">
        <v>750.0</v>
      </c>
      <c r="F17" s="3">
        <v>45388.0</v>
      </c>
      <c r="G17" s="4" t="s">
        <v>14</v>
      </c>
      <c r="J17" s="8" t="s">
        <v>38</v>
      </c>
      <c r="N17" s="10"/>
    </row>
    <row r="18" ht="20.25" customHeight="1">
      <c r="B18" s="2" t="s">
        <v>39</v>
      </c>
      <c r="C18" s="2">
        <v>8500.0</v>
      </c>
      <c r="D18" s="2">
        <v>1.0</v>
      </c>
      <c r="E18" s="2">
        <v>8500.0</v>
      </c>
      <c r="F18" s="3">
        <v>45339.0</v>
      </c>
      <c r="G18" s="4" t="s">
        <v>12</v>
      </c>
      <c r="J18" s="11" t="s">
        <v>40</v>
      </c>
      <c r="K18" s="12" t="str">
        <f>FORMULATEXT(J19)</f>
        <v>=Sort(B2:G44,4,1)</v>
      </c>
      <c r="L18" s="7"/>
      <c r="N18" s="10"/>
    </row>
    <row r="19" ht="17.25" customHeight="1">
      <c r="B19" s="2" t="s">
        <v>43</v>
      </c>
      <c r="C19" s="2">
        <v>3200.0</v>
      </c>
      <c r="D19" s="2">
        <v>1.0</v>
      </c>
      <c r="E19" s="2">
        <v>3200.0</v>
      </c>
      <c r="F19" s="3">
        <v>45380.0</v>
      </c>
      <c r="G19" s="4" t="s">
        <v>12</v>
      </c>
      <c r="J19" s="4" t="str">
        <f t="array" ref="J19:O61">Sort(B2:G44,4,1)</f>
        <v>Laptop Stand</v>
      </c>
      <c r="K19" s="4">
        <v>750.0</v>
      </c>
      <c r="L19" s="4">
        <v>1.0</v>
      </c>
      <c r="M19" s="4">
        <v>750.0</v>
      </c>
      <c r="N19" s="10">
        <v>45337.0</v>
      </c>
      <c r="O19" s="4" t="s">
        <v>8</v>
      </c>
    </row>
    <row r="20" ht="18.75" customHeight="1">
      <c r="B20" s="2" t="s">
        <v>45</v>
      </c>
      <c r="C20" s="2">
        <v>900.0</v>
      </c>
      <c r="D20" s="2">
        <v>3.0</v>
      </c>
      <c r="E20" s="2">
        <v>2700.0</v>
      </c>
      <c r="F20" s="3">
        <v>45317.0</v>
      </c>
      <c r="G20" s="4" t="s">
        <v>12</v>
      </c>
      <c r="J20" s="4" t="s">
        <v>37</v>
      </c>
      <c r="K20" s="4">
        <v>150.0</v>
      </c>
      <c r="L20" s="4">
        <v>5.0</v>
      </c>
      <c r="M20" s="4">
        <v>750.0</v>
      </c>
      <c r="N20" s="10">
        <v>45388.0</v>
      </c>
      <c r="O20" s="4" t="s">
        <v>14</v>
      </c>
    </row>
    <row r="21" ht="15.75" customHeight="1">
      <c r="B21" s="2" t="s">
        <v>46</v>
      </c>
      <c r="C21" s="2">
        <v>12500.0</v>
      </c>
      <c r="D21" s="2">
        <v>1.0</v>
      </c>
      <c r="E21" s="2">
        <v>12500.0</v>
      </c>
      <c r="F21" s="3">
        <v>45391.0</v>
      </c>
      <c r="G21" s="4" t="s">
        <v>12</v>
      </c>
      <c r="J21" s="4" t="s">
        <v>6</v>
      </c>
      <c r="K21" s="4">
        <v>450.0</v>
      </c>
      <c r="L21" s="4">
        <v>2.0</v>
      </c>
      <c r="M21" s="4">
        <v>900.0</v>
      </c>
      <c r="N21" s="10">
        <v>45296.0</v>
      </c>
      <c r="O21" s="4" t="s">
        <v>8</v>
      </c>
    </row>
    <row r="22" ht="19.5" customHeight="1">
      <c r="B22" s="2" t="s">
        <v>47</v>
      </c>
      <c r="C22" s="2">
        <v>9000.0</v>
      </c>
      <c r="D22" s="2">
        <v>1.0</v>
      </c>
      <c r="E22" s="2">
        <v>9000.0</v>
      </c>
      <c r="F22" s="3">
        <v>45302.0</v>
      </c>
      <c r="G22" s="4" t="s">
        <v>14</v>
      </c>
      <c r="J22" s="4" t="s">
        <v>11</v>
      </c>
      <c r="K22" s="4">
        <v>1200.0</v>
      </c>
      <c r="L22" s="4">
        <v>1.0</v>
      </c>
      <c r="M22" s="4">
        <v>1200.0</v>
      </c>
      <c r="N22" s="10">
        <v>45332.0</v>
      </c>
      <c r="O22" s="4" t="s">
        <v>12</v>
      </c>
    </row>
    <row r="23" ht="18.75" customHeight="1">
      <c r="B23" s="2" t="s">
        <v>49</v>
      </c>
      <c r="C23" s="2">
        <v>300.0</v>
      </c>
      <c r="D23" s="2">
        <v>4.0</v>
      </c>
      <c r="E23" s="2">
        <v>1200.0</v>
      </c>
      <c r="F23" s="3">
        <v>45342.0</v>
      </c>
      <c r="G23" s="4" t="s">
        <v>8</v>
      </c>
      <c r="J23" s="4" t="s">
        <v>49</v>
      </c>
      <c r="K23" s="4">
        <v>300.0</v>
      </c>
      <c r="L23" s="4">
        <v>4.0</v>
      </c>
      <c r="M23" s="4">
        <v>1200.0</v>
      </c>
      <c r="N23" s="10">
        <v>45342.0</v>
      </c>
      <c r="O23" s="4" t="s">
        <v>8</v>
      </c>
    </row>
    <row r="24" ht="21.0" customHeight="1">
      <c r="B24" s="2" t="s">
        <v>50</v>
      </c>
      <c r="C24" s="2">
        <v>1700.0</v>
      </c>
      <c r="D24" s="2">
        <v>1.0</v>
      </c>
      <c r="E24" s="2">
        <v>1700.0</v>
      </c>
      <c r="F24" s="3">
        <v>45359.0</v>
      </c>
      <c r="G24" s="4" t="s">
        <v>14</v>
      </c>
      <c r="J24" s="4" t="s">
        <v>53</v>
      </c>
      <c r="K24" s="4">
        <v>700.0</v>
      </c>
      <c r="L24" s="4">
        <v>2.0</v>
      </c>
      <c r="M24" s="4">
        <v>1400.0</v>
      </c>
      <c r="N24" s="10">
        <v>45312.0</v>
      </c>
      <c r="O24" s="4" t="s">
        <v>12</v>
      </c>
    </row>
    <row r="25" ht="15.75" customHeight="1">
      <c r="B25" s="2" t="s">
        <v>51</v>
      </c>
      <c r="C25" s="2">
        <v>8000.0</v>
      </c>
      <c r="D25" s="2">
        <v>1.0</v>
      </c>
      <c r="E25" s="2">
        <v>8000.0</v>
      </c>
      <c r="F25" s="3">
        <v>45327.0</v>
      </c>
      <c r="G25" s="4" t="s">
        <v>16</v>
      </c>
      <c r="J25" s="4" t="s">
        <v>21</v>
      </c>
      <c r="K25" s="4">
        <v>500.0</v>
      </c>
      <c r="L25" s="4">
        <v>3.0</v>
      </c>
      <c r="M25" s="4">
        <v>1500.0</v>
      </c>
      <c r="N25" s="10">
        <v>45369.0</v>
      </c>
      <c r="O25" s="4" t="s">
        <v>14</v>
      </c>
    </row>
    <row r="26" ht="16.5" customHeight="1">
      <c r="B26" s="2" t="s">
        <v>53</v>
      </c>
      <c r="C26" s="2">
        <v>700.0</v>
      </c>
      <c r="D26" s="2">
        <v>2.0</v>
      </c>
      <c r="E26" s="2">
        <v>1400.0</v>
      </c>
      <c r="F26" s="3">
        <v>45312.0</v>
      </c>
      <c r="G26" s="4" t="s">
        <v>12</v>
      </c>
      <c r="J26" s="4" t="s">
        <v>55</v>
      </c>
      <c r="K26" s="4">
        <v>800.0</v>
      </c>
      <c r="L26" s="4">
        <v>2.0</v>
      </c>
      <c r="M26" s="4">
        <v>1600.0</v>
      </c>
      <c r="N26" s="10">
        <v>45344.0</v>
      </c>
      <c r="O26" s="4" t="s">
        <v>14</v>
      </c>
    </row>
    <row r="27" ht="19.5" customHeight="1">
      <c r="B27" s="2" t="s">
        <v>54</v>
      </c>
      <c r="C27" s="2">
        <v>2200.0</v>
      </c>
      <c r="D27" s="2">
        <v>2.0</v>
      </c>
      <c r="E27" s="2">
        <v>4400.0</v>
      </c>
      <c r="F27" s="3">
        <v>45365.0</v>
      </c>
      <c r="G27" s="4" t="s">
        <v>12</v>
      </c>
      <c r="J27" s="4" t="s">
        <v>50</v>
      </c>
      <c r="K27" s="4">
        <v>1700.0</v>
      </c>
      <c r="L27" s="4">
        <v>1.0</v>
      </c>
      <c r="M27" s="4">
        <v>1700.0</v>
      </c>
      <c r="N27" s="18">
        <v>45359.0</v>
      </c>
      <c r="O27" s="4" t="s">
        <v>14</v>
      </c>
    </row>
    <row r="28" ht="16.5" customHeight="1">
      <c r="B28" s="2" t="s">
        <v>56</v>
      </c>
      <c r="C28" s="2">
        <v>16000.0</v>
      </c>
      <c r="D28" s="2">
        <v>1.0</v>
      </c>
      <c r="E28" s="2">
        <v>16000.0</v>
      </c>
      <c r="F28" s="3">
        <v>45350.0</v>
      </c>
      <c r="G28" s="4" t="s">
        <v>8</v>
      </c>
      <c r="J28" s="4" t="s">
        <v>15</v>
      </c>
      <c r="K28" s="4">
        <v>600.0</v>
      </c>
      <c r="L28" s="4">
        <v>3.0</v>
      </c>
      <c r="M28" s="4">
        <v>1800.0</v>
      </c>
      <c r="N28" s="18">
        <v>45353.0</v>
      </c>
      <c r="O28" s="4" t="s">
        <v>16</v>
      </c>
    </row>
    <row r="29" ht="19.5" customHeight="1">
      <c r="B29" s="2" t="s">
        <v>57</v>
      </c>
      <c r="C29" s="2">
        <v>600.0</v>
      </c>
      <c r="D29" s="2">
        <v>3.0</v>
      </c>
      <c r="E29" s="2">
        <v>1800.0</v>
      </c>
      <c r="F29" s="3">
        <v>45298.0</v>
      </c>
      <c r="G29" s="4" t="s">
        <v>14</v>
      </c>
      <c r="J29" s="4" t="s">
        <v>57</v>
      </c>
      <c r="K29" s="4">
        <v>600.0</v>
      </c>
      <c r="L29" s="4">
        <v>3.0</v>
      </c>
      <c r="M29" s="4">
        <v>1800.0</v>
      </c>
      <c r="N29" s="18">
        <v>45298.0</v>
      </c>
      <c r="O29" s="4" t="s">
        <v>14</v>
      </c>
    </row>
    <row r="30" ht="20.25" customHeight="1">
      <c r="B30" s="2" t="s">
        <v>58</v>
      </c>
      <c r="C30" s="2">
        <v>5500.0</v>
      </c>
      <c r="D30" s="2">
        <v>1.0</v>
      </c>
      <c r="E30" s="2">
        <v>5500.0</v>
      </c>
      <c r="F30" s="3">
        <v>45384.0</v>
      </c>
      <c r="G30" s="4" t="s">
        <v>12</v>
      </c>
      <c r="J30" s="4" t="s">
        <v>23</v>
      </c>
      <c r="K30" s="4">
        <v>1200.0</v>
      </c>
      <c r="L30" s="4">
        <v>2.0</v>
      </c>
      <c r="M30" s="4">
        <v>2400.0</v>
      </c>
      <c r="N30" s="18">
        <v>45349.0</v>
      </c>
      <c r="O30" s="4" t="s">
        <v>14</v>
      </c>
    </row>
    <row r="31" ht="16.5" customHeight="1">
      <c r="B31" s="2" t="s">
        <v>59</v>
      </c>
      <c r="C31" s="2">
        <v>11000.0</v>
      </c>
      <c r="D31" s="2">
        <v>1.0</v>
      </c>
      <c r="E31" s="2">
        <v>11000.0</v>
      </c>
      <c r="F31" s="3">
        <v>45331.0</v>
      </c>
      <c r="G31" s="4" t="s">
        <v>12</v>
      </c>
      <c r="J31" s="4" t="s">
        <v>32</v>
      </c>
      <c r="K31" s="4">
        <v>1200.0</v>
      </c>
      <c r="L31" s="4">
        <v>2.0</v>
      </c>
      <c r="M31" s="4">
        <v>2400.0</v>
      </c>
      <c r="N31" s="18">
        <v>45305.0</v>
      </c>
      <c r="O31" s="4" t="s">
        <v>8</v>
      </c>
    </row>
    <row r="32" ht="18.0" customHeight="1">
      <c r="B32" s="2" t="s">
        <v>60</v>
      </c>
      <c r="C32" s="2">
        <v>9000.0</v>
      </c>
      <c r="D32" s="2">
        <v>1.0</v>
      </c>
      <c r="E32" s="2">
        <v>9000.0</v>
      </c>
      <c r="F32" s="3">
        <v>45375.0</v>
      </c>
      <c r="G32" s="4" t="s">
        <v>8</v>
      </c>
      <c r="J32" s="4" t="s">
        <v>45</v>
      </c>
      <c r="K32" s="4">
        <v>900.0</v>
      </c>
      <c r="L32" s="4">
        <v>3.0</v>
      </c>
      <c r="M32" s="4">
        <v>2700.0</v>
      </c>
      <c r="N32" s="18">
        <v>45317.0</v>
      </c>
      <c r="O32" s="4" t="s">
        <v>12</v>
      </c>
    </row>
    <row r="33" ht="18.0" customHeight="1">
      <c r="B33" s="2" t="s">
        <v>61</v>
      </c>
      <c r="C33" s="2">
        <v>3200.0</v>
      </c>
      <c r="D33" s="2">
        <v>2.0</v>
      </c>
      <c r="E33" s="2">
        <v>6400.0</v>
      </c>
      <c r="F33" s="3">
        <v>45310.0</v>
      </c>
      <c r="G33" s="4" t="s">
        <v>16</v>
      </c>
      <c r="J33" s="4" t="s">
        <v>62</v>
      </c>
      <c r="K33" s="4">
        <v>2700.0</v>
      </c>
      <c r="L33" s="4">
        <v>1.0</v>
      </c>
      <c r="M33" s="4">
        <v>2700.0</v>
      </c>
      <c r="N33" s="18">
        <v>45354.0</v>
      </c>
      <c r="O33" s="4" t="s">
        <v>16</v>
      </c>
    </row>
    <row r="34" ht="21.0" customHeight="1">
      <c r="B34" s="2" t="s">
        <v>55</v>
      </c>
      <c r="C34" s="2">
        <v>800.0</v>
      </c>
      <c r="D34" s="2">
        <v>2.0</v>
      </c>
      <c r="E34" s="2">
        <v>1600.0</v>
      </c>
      <c r="F34" s="3">
        <v>45344.0</v>
      </c>
      <c r="G34" s="4" t="s">
        <v>14</v>
      </c>
      <c r="J34" s="4" t="s">
        <v>36</v>
      </c>
      <c r="K34" s="4">
        <v>1500.0</v>
      </c>
      <c r="L34" s="4">
        <v>2.0</v>
      </c>
      <c r="M34" s="4">
        <v>3000.0</v>
      </c>
      <c r="N34" s="18">
        <v>45347.0</v>
      </c>
      <c r="O34" s="4" t="s">
        <v>12</v>
      </c>
    </row>
    <row r="35" ht="22.5" customHeight="1">
      <c r="B35" s="2" t="s">
        <v>62</v>
      </c>
      <c r="C35" s="2">
        <v>2700.0</v>
      </c>
      <c r="D35" s="2">
        <v>1.0</v>
      </c>
      <c r="E35" s="2">
        <v>2700.0</v>
      </c>
      <c r="F35" s="3">
        <v>45354.0</v>
      </c>
      <c r="G35" s="4" t="s">
        <v>16</v>
      </c>
      <c r="J35" s="4" t="s">
        <v>43</v>
      </c>
      <c r="K35" s="4">
        <v>3200.0</v>
      </c>
      <c r="L35" s="4">
        <v>1.0</v>
      </c>
      <c r="M35" s="4">
        <v>3200.0</v>
      </c>
      <c r="N35" s="18">
        <v>45380.0</v>
      </c>
      <c r="O35" s="4" t="s">
        <v>12</v>
      </c>
    </row>
    <row r="36" ht="19.5" customHeight="1">
      <c r="B36" s="2" t="s">
        <v>64</v>
      </c>
      <c r="C36" s="2">
        <v>15000.0</v>
      </c>
      <c r="D36" s="2">
        <v>1.0</v>
      </c>
      <c r="E36" s="2">
        <v>15000.0</v>
      </c>
      <c r="F36" s="3">
        <v>45307.0</v>
      </c>
      <c r="G36" s="4" t="s">
        <v>16</v>
      </c>
      <c r="J36" s="4" t="s">
        <v>26</v>
      </c>
      <c r="K36" s="4">
        <v>3500.0</v>
      </c>
      <c r="L36" s="4">
        <v>1.0</v>
      </c>
      <c r="M36" s="4">
        <v>3500.0</v>
      </c>
      <c r="N36" s="18">
        <v>45383.0</v>
      </c>
      <c r="O36" s="4" t="s">
        <v>12</v>
      </c>
    </row>
    <row r="37" ht="19.5" customHeight="1">
      <c r="B37" s="2" t="s">
        <v>65</v>
      </c>
      <c r="C37" s="2">
        <v>8500.0</v>
      </c>
      <c r="D37" s="2">
        <v>1.0</v>
      </c>
      <c r="E37" s="2">
        <v>8500.0</v>
      </c>
      <c r="F37" s="3">
        <v>45336.0</v>
      </c>
      <c r="G37" s="4" t="s">
        <v>16</v>
      </c>
      <c r="J37" s="4" t="s">
        <v>13</v>
      </c>
      <c r="K37" s="4">
        <v>1800.0</v>
      </c>
      <c r="L37" s="4">
        <v>2.0</v>
      </c>
      <c r="M37" s="4">
        <v>3600.0</v>
      </c>
      <c r="N37" s="18">
        <v>45313.0</v>
      </c>
      <c r="O37" s="4" t="s">
        <v>14</v>
      </c>
    </row>
    <row r="38" ht="18.0" customHeight="1">
      <c r="B38" s="2" t="s">
        <v>66</v>
      </c>
      <c r="C38" s="2">
        <v>6800.0</v>
      </c>
      <c r="D38" s="2">
        <v>1.0</v>
      </c>
      <c r="E38" s="2">
        <v>6800.0</v>
      </c>
      <c r="F38" s="3">
        <v>45361.0</v>
      </c>
      <c r="G38" s="4" t="s">
        <v>8</v>
      </c>
      <c r="J38" s="4" t="s">
        <v>67</v>
      </c>
      <c r="K38" s="4">
        <v>3800.0</v>
      </c>
      <c r="L38" s="4">
        <v>1.0</v>
      </c>
      <c r="M38" s="4">
        <v>3800.0</v>
      </c>
      <c r="N38" s="18">
        <v>45328.0</v>
      </c>
      <c r="O38" s="4" t="s">
        <v>8</v>
      </c>
    </row>
    <row r="39" ht="18.75" customHeight="1">
      <c r="B39" s="2" t="s">
        <v>68</v>
      </c>
      <c r="C39" s="2">
        <v>2000.0</v>
      </c>
      <c r="D39" s="2">
        <v>2.0</v>
      </c>
      <c r="E39" s="2">
        <v>4000.0</v>
      </c>
      <c r="F39" s="3">
        <v>45320.0</v>
      </c>
      <c r="G39" s="4" t="s">
        <v>12</v>
      </c>
      <c r="J39" s="4" t="s">
        <v>19</v>
      </c>
      <c r="K39" s="4">
        <v>2000.0</v>
      </c>
      <c r="L39" s="4">
        <v>2.0</v>
      </c>
      <c r="M39" s="4">
        <v>4000.0</v>
      </c>
      <c r="N39" s="18">
        <v>45299.0</v>
      </c>
      <c r="O39" s="4" t="s">
        <v>16</v>
      </c>
    </row>
    <row r="40" ht="20.25" customHeight="1">
      <c r="B40" s="2" t="s">
        <v>69</v>
      </c>
      <c r="C40" s="2">
        <v>5600.0</v>
      </c>
      <c r="D40" s="2">
        <v>1.0</v>
      </c>
      <c r="E40" s="2">
        <v>5600.0</v>
      </c>
      <c r="F40" s="3">
        <v>45389.0</v>
      </c>
      <c r="G40" s="4" t="s">
        <v>8</v>
      </c>
      <c r="J40" s="4" t="s">
        <v>68</v>
      </c>
      <c r="K40" s="4">
        <v>2000.0</v>
      </c>
      <c r="L40" s="4">
        <v>2.0</v>
      </c>
      <c r="M40" s="4">
        <v>4000.0</v>
      </c>
      <c r="N40" s="18">
        <v>45320.0</v>
      </c>
      <c r="O40" s="4" t="s">
        <v>12</v>
      </c>
    </row>
    <row r="41" ht="20.25" customHeight="1">
      <c r="B41" s="2" t="s">
        <v>67</v>
      </c>
      <c r="C41" s="2">
        <v>3800.0</v>
      </c>
      <c r="D41" s="2">
        <v>1.0</v>
      </c>
      <c r="E41" s="2">
        <v>3800.0</v>
      </c>
      <c r="F41" s="3">
        <v>45328.0</v>
      </c>
      <c r="G41" s="4" t="s">
        <v>8</v>
      </c>
      <c r="J41" s="4" t="s">
        <v>54</v>
      </c>
      <c r="K41" s="4">
        <v>2200.0</v>
      </c>
      <c r="L41" s="4">
        <v>2.0</v>
      </c>
      <c r="M41" s="4">
        <v>4400.0</v>
      </c>
      <c r="N41" s="18">
        <v>45365.0</v>
      </c>
      <c r="O41" s="4" t="s">
        <v>12</v>
      </c>
    </row>
    <row r="42" ht="21.75" customHeight="1">
      <c r="B42" s="2" t="s">
        <v>70</v>
      </c>
      <c r="C42" s="2">
        <v>20000.0</v>
      </c>
      <c r="D42" s="2">
        <v>1.0</v>
      </c>
      <c r="E42" s="2">
        <v>20000.0</v>
      </c>
      <c r="F42" s="3">
        <v>45379.0</v>
      </c>
      <c r="G42" s="4" t="s">
        <v>8</v>
      </c>
      <c r="J42" s="4" t="s">
        <v>27</v>
      </c>
      <c r="K42" s="4">
        <v>4500.0</v>
      </c>
      <c r="L42" s="4">
        <v>1.0</v>
      </c>
      <c r="M42" s="4">
        <v>4500.0</v>
      </c>
      <c r="N42" s="18">
        <v>45321.0</v>
      </c>
      <c r="O42" s="4" t="s">
        <v>8</v>
      </c>
    </row>
    <row r="43" ht="20.25" customHeight="1">
      <c r="B43" s="2" t="s">
        <v>71</v>
      </c>
      <c r="C43" s="2">
        <v>7000.0</v>
      </c>
      <c r="D43" s="2">
        <v>1.0</v>
      </c>
      <c r="E43" s="2">
        <v>7000.0</v>
      </c>
      <c r="F43" s="3">
        <v>45300.0</v>
      </c>
      <c r="G43" s="4" t="s">
        <v>12</v>
      </c>
      <c r="J43" s="4" t="s">
        <v>30</v>
      </c>
      <c r="K43" s="4">
        <v>2500.0</v>
      </c>
      <c r="L43" s="4">
        <v>2.0</v>
      </c>
      <c r="M43" s="4">
        <v>5000.0</v>
      </c>
      <c r="N43" s="18">
        <v>45371.0</v>
      </c>
      <c r="O43" s="4" t="s">
        <v>16</v>
      </c>
    </row>
    <row r="44" ht="19.5" customHeight="1">
      <c r="B44" s="2" t="s">
        <v>72</v>
      </c>
      <c r="C44" s="2">
        <v>6200.0</v>
      </c>
      <c r="D44" s="2">
        <v>1.0</v>
      </c>
      <c r="E44" s="2">
        <v>6200.0</v>
      </c>
      <c r="F44" s="3">
        <v>45368.0</v>
      </c>
      <c r="G44" s="4" t="s">
        <v>14</v>
      </c>
      <c r="J44" s="4" t="s">
        <v>58</v>
      </c>
      <c r="K44" s="4">
        <v>5500.0</v>
      </c>
      <c r="L44" s="4">
        <v>1.0</v>
      </c>
      <c r="M44" s="4">
        <v>5500.0</v>
      </c>
      <c r="N44" s="18">
        <v>45384.0</v>
      </c>
      <c r="O44" s="4" t="s">
        <v>12</v>
      </c>
    </row>
    <row r="45" ht="14.25" customHeight="1">
      <c r="J45" s="4" t="s">
        <v>69</v>
      </c>
      <c r="K45" s="4">
        <v>5600.0</v>
      </c>
      <c r="L45" s="4">
        <v>1.0</v>
      </c>
      <c r="M45" s="4">
        <v>5600.0</v>
      </c>
      <c r="N45" s="18">
        <v>45389.0</v>
      </c>
      <c r="O45" s="4" t="s">
        <v>8</v>
      </c>
    </row>
    <row r="46" ht="14.25" customHeight="1">
      <c r="J46" s="4" t="s">
        <v>29</v>
      </c>
      <c r="K46" s="4">
        <v>5800.0</v>
      </c>
      <c r="L46" s="4">
        <v>1.0</v>
      </c>
      <c r="M46" s="4">
        <v>5800.0</v>
      </c>
      <c r="N46" s="18">
        <v>45334.0</v>
      </c>
      <c r="O46" s="4" t="s">
        <v>16</v>
      </c>
    </row>
    <row r="47" ht="14.25" customHeight="1">
      <c r="J47" s="4" t="s">
        <v>72</v>
      </c>
      <c r="K47" s="4">
        <v>6200.0</v>
      </c>
      <c r="L47" s="4">
        <v>1.0</v>
      </c>
      <c r="M47" s="4">
        <v>6200.0</v>
      </c>
      <c r="N47" s="18">
        <v>45368.0</v>
      </c>
      <c r="O47" s="4" t="s">
        <v>14</v>
      </c>
    </row>
    <row r="48" ht="14.25" customHeight="1">
      <c r="J48" s="4" t="s">
        <v>61</v>
      </c>
      <c r="K48" s="4">
        <v>3200.0</v>
      </c>
      <c r="L48" s="4">
        <v>2.0</v>
      </c>
      <c r="M48" s="4">
        <v>6400.0</v>
      </c>
      <c r="N48" s="18">
        <v>45310.0</v>
      </c>
      <c r="O48" s="4" t="s">
        <v>16</v>
      </c>
    </row>
    <row r="49" ht="14.25" customHeight="1">
      <c r="J49" s="4" t="s">
        <v>66</v>
      </c>
      <c r="K49" s="4">
        <v>6800.0</v>
      </c>
      <c r="L49" s="4">
        <v>1.0</v>
      </c>
      <c r="M49" s="4">
        <v>6800.0</v>
      </c>
      <c r="N49" s="18">
        <v>45361.0</v>
      </c>
      <c r="O49" s="4" t="s">
        <v>8</v>
      </c>
    </row>
    <row r="50" ht="14.25" customHeight="1">
      <c r="J50" s="4" t="s">
        <v>71</v>
      </c>
      <c r="K50" s="4">
        <v>7000.0</v>
      </c>
      <c r="L50" s="4">
        <v>1.0</v>
      </c>
      <c r="M50" s="4">
        <v>7000.0</v>
      </c>
      <c r="N50" s="18">
        <v>45300.0</v>
      </c>
      <c r="O50" s="4" t="s">
        <v>12</v>
      </c>
    </row>
    <row r="51" ht="14.25" customHeight="1">
      <c r="J51" s="4" t="s">
        <v>34</v>
      </c>
      <c r="K51" s="4">
        <v>7200.0</v>
      </c>
      <c r="L51" s="4">
        <v>1.0</v>
      </c>
      <c r="M51" s="4">
        <v>7200.0</v>
      </c>
      <c r="N51" s="18">
        <v>45356.0</v>
      </c>
      <c r="O51" s="4" t="s">
        <v>8</v>
      </c>
    </row>
    <row r="52" ht="14.25" customHeight="1">
      <c r="J52" s="4" t="s">
        <v>51</v>
      </c>
      <c r="K52" s="4">
        <v>8000.0</v>
      </c>
      <c r="L52" s="4">
        <v>1.0</v>
      </c>
      <c r="M52" s="4">
        <v>8000.0</v>
      </c>
      <c r="N52" s="18">
        <v>45327.0</v>
      </c>
      <c r="O52" s="4" t="s">
        <v>16</v>
      </c>
    </row>
    <row r="53" ht="14.25" customHeight="1">
      <c r="J53" s="4" t="s">
        <v>39</v>
      </c>
      <c r="K53" s="4">
        <v>8500.0</v>
      </c>
      <c r="L53" s="4">
        <v>1.0</v>
      </c>
      <c r="M53" s="4">
        <v>8500.0</v>
      </c>
      <c r="N53" s="18">
        <v>45339.0</v>
      </c>
      <c r="O53" s="4" t="s">
        <v>12</v>
      </c>
    </row>
    <row r="54" ht="14.25" customHeight="1">
      <c r="J54" s="4" t="s">
        <v>65</v>
      </c>
      <c r="K54" s="4">
        <v>8500.0</v>
      </c>
      <c r="L54" s="4">
        <v>1.0</v>
      </c>
      <c r="M54" s="4">
        <v>8500.0</v>
      </c>
      <c r="N54" s="18">
        <v>45336.0</v>
      </c>
      <c r="O54" s="4" t="s">
        <v>16</v>
      </c>
    </row>
    <row r="55" ht="14.25" customHeight="1">
      <c r="J55" s="4" t="s">
        <v>47</v>
      </c>
      <c r="K55" s="4">
        <v>9000.0</v>
      </c>
      <c r="L55" s="4">
        <v>1.0</v>
      </c>
      <c r="M55" s="4">
        <v>9000.0</v>
      </c>
      <c r="N55" s="18">
        <v>45302.0</v>
      </c>
      <c r="O55" s="4" t="s">
        <v>14</v>
      </c>
    </row>
    <row r="56" ht="14.25" customHeight="1">
      <c r="J56" s="4" t="s">
        <v>60</v>
      </c>
      <c r="K56" s="4">
        <v>9000.0</v>
      </c>
      <c r="L56" s="4">
        <v>1.0</v>
      </c>
      <c r="M56" s="4">
        <v>9000.0</v>
      </c>
      <c r="N56" s="18">
        <v>45375.0</v>
      </c>
      <c r="O56" s="4" t="s">
        <v>8</v>
      </c>
    </row>
    <row r="57" ht="14.25" customHeight="1">
      <c r="J57" s="4" t="s">
        <v>59</v>
      </c>
      <c r="K57" s="4">
        <v>11000.0</v>
      </c>
      <c r="L57" s="4">
        <v>1.0</v>
      </c>
      <c r="M57" s="4">
        <v>11000.0</v>
      </c>
      <c r="N57" s="18">
        <v>45331.0</v>
      </c>
      <c r="O57" s="4" t="s">
        <v>12</v>
      </c>
    </row>
    <row r="58" ht="14.25" customHeight="1">
      <c r="J58" s="4" t="s">
        <v>46</v>
      </c>
      <c r="K58" s="4">
        <v>12500.0</v>
      </c>
      <c r="L58" s="4">
        <v>1.0</v>
      </c>
      <c r="M58" s="4">
        <v>12500.0</v>
      </c>
      <c r="N58" s="18">
        <v>45391.0</v>
      </c>
      <c r="O58" s="4" t="s">
        <v>12</v>
      </c>
    </row>
    <row r="59" ht="14.25" customHeight="1">
      <c r="J59" s="4" t="s">
        <v>64</v>
      </c>
      <c r="K59" s="4">
        <v>15000.0</v>
      </c>
      <c r="L59" s="4">
        <v>1.0</v>
      </c>
      <c r="M59" s="4">
        <v>15000.0</v>
      </c>
      <c r="N59" s="18">
        <v>45307.0</v>
      </c>
      <c r="O59" s="4" t="s">
        <v>16</v>
      </c>
    </row>
    <row r="60" ht="14.25" customHeight="1">
      <c r="J60" s="4" t="s">
        <v>56</v>
      </c>
      <c r="K60" s="4">
        <v>16000.0</v>
      </c>
      <c r="L60" s="4">
        <v>1.0</v>
      </c>
      <c r="M60" s="4">
        <v>16000.0</v>
      </c>
      <c r="N60" s="18">
        <v>45350.0</v>
      </c>
      <c r="O60" s="4" t="s">
        <v>8</v>
      </c>
    </row>
    <row r="61" ht="14.25" customHeight="1">
      <c r="J61" s="4" t="s">
        <v>70</v>
      </c>
      <c r="K61" s="4">
        <v>20000.0</v>
      </c>
      <c r="L61" s="4">
        <v>1.0</v>
      </c>
      <c r="M61" s="4">
        <v>20000.0</v>
      </c>
      <c r="N61" s="18">
        <v>45379.0</v>
      </c>
      <c r="O61" s="4" t="s">
        <v>8</v>
      </c>
    </row>
    <row r="62" ht="14.25" customHeight="1"/>
    <row r="63" ht="14.25" customHeight="1"/>
    <row r="64" ht="14.25" customHeight="1"/>
    <row r="65" ht="14.25" customHeight="1"/>
    <row r="66" ht="14.25" customHeight="1">
      <c r="J66" s="11" t="s">
        <v>63</v>
      </c>
      <c r="K66" s="19" t="str">
        <f>FORMULATEXT(J67)</f>
        <v>=Sort(B2:G44,2,0)</v>
      </c>
      <c r="L66" s="7"/>
    </row>
    <row r="67" ht="14.25" customHeight="1">
      <c r="J67" s="4" t="str">
        <f t="array" ref="J67:O109">Sort(B2:G44,2,0)</f>
        <v>Robot Vacuum Cleaner</v>
      </c>
      <c r="K67" s="4">
        <v>20000.0</v>
      </c>
      <c r="L67" s="4">
        <v>1.0</v>
      </c>
      <c r="M67" s="4">
        <v>20000.0</v>
      </c>
      <c r="N67" s="18">
        <v>45379.0</v>
      </c>
      <c r="O67" s="4" t="s">
        <v>8</v>
      </c>
    </row>
    <row r="68" ht="14.25" customHeight="1">
      <c r="J68" s="4" t="s">
        <v>56</v>
      </c>
      <c r="K68" s="4">
        <v>16000.0</v>
      </c>
      <c r="L68" s="4">
        <v>1.0</v>
      </c>
      <c r="M68" s="4">
        <v>16000.0</v>
      </c>
      <c r="N68" s="18">
        <v>45350.0</v>
      </c>
      <c r="O68" s="4" t="s">
        <v>8</v>
      </c>
    </row>
    <row r="69" ht="14.25" customHeight="1">
      <c r="J69" s="4" t="s">
        <v>64</v>
      </c>
      <c r="K69" s="4">
        <v>15000.0</v>
      </c>
      <c r="L69" s="4">
        <v>1.0</v>
      </c>
      <c r="M69" s="4">
        <v>15000.0</v>
      </c>
      <c r="N69" s="18">
        <v>45307.0</v>
      </c>
      <c r="O69" s="4" t="s">
        <v>16</v>
      </c>
    </row>
    <row r="70" ht="14.25" customHeight="1">
      <c r="J70" s="4" t="s">
        <v>46</v>
      </c>
      <c r="K70" s="4">
        <v>12500.0</v>
      </c>
      <c r="L70" s="4">
        <v>1.0</v>
      </c>
      <c r="M70" s="4">
        <v>12500.0</v>
      </c>
      <c r="N70" s="18">
        <v>45391.0</v>
      </c>
      <c r="O70" s="4" t="s">
        <v>12</v>
      </c>
    </row>
    <row r="71" ht="14.25" customHeight="1">
      <c r="J71" s="4" t="s">
        <v>59</v>
      </c>
      <c r="K71" s="4">
        <v>11000.0</v>
      </c>
      <c r="L71" s="4">
        <v>1.0</v>
      </c>
      <c r="M71" s="4">
        <v>11000.0</v>
      </c>
      <c r="N71" s="18">
        <v>45331.0</v>
      </c>
      <c r="O71" s="4" t="s">
        <v>12</v>
      </c>
    </row>
    <row r="72" ht="14.25" customHeight="1">
      <c r="J72" s="4" t="s">
        <v>47</v>
      </c>
      <c r="K72" s="4">
        <v>9000.0</v>
      </c>
      <c r="L72" s="4">
        <v>1.0</v>
      </c>
      <c r="M72" s="4">
        <v>9000.0</v>
      </c>
      <c r="N72" s="18">
        <v>45302.0</v>
      </c>
      <c r="O72" s="4" t="s">
        <v>14</v>
      </c>
    </row>
    <row r="73" ht="14.25" customHeight="1">
      <c r="J73" s="4" t="s">
        <v>60</v>
      </c>
      <c r="K73" s="4">
        <v>9000.0</v>
      </c>
      <c r="L73" s="4">
        <v>1.0</v>
      </c>
      <c r="M73" s="4">
        <v>9000.0</v>
      </c>
      <c r="N73" s="18">
        <v>45375.0</v>
      </c>
      <c r="O73" s="4" t="s">
        <v>8</v>
      </c>
    </row>
    <row r="74" ht="14.25" customHeight="1">
      <c r="J74" s="4" t="s">
        <v>39</v>
      </c>
      <c r="K74" s="4">
        <v>8500.0</v>
      </c>
      <c r="L74" s="4">
        <v>1.0</v>
      </c>
      <c r="M74" s="4">
        <v>8500.0</v>
      </c>
      <c r="N74" s="18">
        <v>45339.0</v>
      </c>
      <c r="O74" s="4" t="s">
        <v>12</v>
      </c>
    </row>
    <row r="75" ht="14.25" customHeight="1">
      <c r="J75" s="4" t="s">
        <v>65</v>
      </c>
      <c r="K75" s="4">
        <v>8500.0</v>
      </c>
      <c r="L75" s="4">
        <v>1.0</v>
      </c>
      <c r="M75" s="4">
        <v>8500.0</v>
      </c>
      <c r="N75" s="18">
        <v>45336.0</v>
      </c>
      <c r="O75" s="4" t="s">
        <v>16</v>
      </c>
    </row>
    <row r="76" ht="14.25" customHeight="1">
      <c r="J76" s="4" t="s">
        <v>51</v>
      </c>
      <c r="K76" s="4">
        <v>8000.0</v>
      </c>
      <c r="L76" s="4">
        <v>1.0</v>
      </c>
      <c r="M76" s="4">
        <v>8000.0</v>
      </c>
      <c r="N76" s="18">
        <v>45327.0</v>
      </c>
      <c r="O76" s="4" t="s">
        <v>16</v>
      </c>
    </row>
    <row r="77" ht="14.25" customHeight="1">
      <c r="J77" s="4" t="s">
        <v>34</v>
      </c>
      <c r="K77" s="4">
        <v>7200.0</v>
      </c>
      <c r="L77" s="4">
        <v>1.0</v>
      </c>
      <c r="M77" s="4">
        <v>7200.0</v>
      </c>
      <c r="N77" s="18">
        <v>45356.0</v>
      </c>
      <c r="O77" s="4" t="s">
        <v>8</v>
      </c>
    </row>
    <row r="78" ht="14.25" customHeight="1">
      <c r="J78" s="4" t="s">
        <v>71</v>
      </c>
      <c r="K78" s="4">
        <v>7000.0</v>
      </c>
      <c r="L78" s="4">
        <v>1.0</v>
      </c>
      <c r="M78" s="4">
        <v>7000.0</v>
      </c>
      <c r="N78" s="18">
        <v>45300.0</v>
      </c>
      <c r="O78" s="4" t="s">
        <v>12</v>
      </c>
    </row>
    <row r="79" ht="14.25" customHeight="1">
      <c r="J79" s="4" t="s">
        <v>66</v>
      </c>
      <c r="K79" s="4">
        <v>6800.0</v>
      </c>
      <c r="L79" s="4">
        <v>1.0</v>
      </c>
      <c r="M79" s="4">
        <v>6800.0</v>
      </c>
      <c r="N79" s="18">
        <v>45361.0</v>
      </c>
      <c r="O79" s="4" t="s">
        <v>8</v>
      </c>
    </row>
    <row r="80" ht="14.25" customHeight="1">
      <c r="J80" s="4" t="s">
        <v>72</v>
      </c>
      <c r="K80" s="4">
        <v>6200.0</v>
      </c>
      <c r="L80" s="4">
        <v>1.0</v>
      </c>
      <c r="M80" s="4">
        <v>6200.0</v>
      </c>
      <c r="N80" s="18">
        <v>45368.0</v>
      </c>
      <c r="O80" s="4" t="s">
        <v>14</v>
      </c>
    </row>
    <row r="81" ht="14.25" customHeight="1">
      <c r="J81" s="4" t="s">
        <v>29</v>
      </c>
      <c r="K81" s="4">
        <v>5800.0</v>
      </c>
      <c r="L81" s="4">
        <v>1.0</v>
      </c>
      <c r="M81" s="4">
        <v>5800.0</v>
      </c>
      <c r="N81" s="18">
        <v>45334.0</v>
      </c>
      <c r="O81" s="4" t="s">
        <v>16</v>
      </c>
    </row>
    <row r="82" ht="14.25" customHeight="1">
      <c r="J82" s="4" t="s">
        <v>69</v>
      </c>
      <c r="K82" s="4">
        <v>5600.0</v>
      </c>
      <c r="L82" s="4">
        <v>1.0</v>
      </c>
      <c r="M82" s="4">
        <v>5600.0</v>
      </c>
      <c r="N82" s="18">
        <v>45389.0</v>
      </c>
      <c r="O82" s="4" t="s">
        <v>8</v>
      </c>
    </row>
    <row r="83" ht="14.25" customHeight="1">
      <c r="J83" s="4" t="s">
        <v>58</v>
      </c>
      <c r="K83" s="4">
        <v>5500.0</v>
      </c>
      <c r="L83" s="4">
        <v>1.0</v>
      </c>
      <c r="M83" s="4">
        <v>5500.0</v>
      </c>
      <c r="N83" s="18">
        <v>45384.0</v>
      </c>
      <c r="O83" s="4" t="s">
        <v>12</v>
      </c>
    </row>
    <row r="84" ht="14.25" customHeight="1">
      <c r="J84" s="4" t="s">
        <v>27</v>
      </c>
      <c r="K84" s="4">
        <v>4500.0</v>
      </c>
      <c r="L84" s="4">
        <v>1.0</v>
      </c>
      <c r="M84" s="4">
        <v>4500.0</v>
      </c>
      <c r="N84" s="18">
        <v>45321.0</v>
      </c>
      <c r="O84" s="4" t="s">
        <v>8</v>
      </c>
    </row>
    <row r="85" ht="14.25" customHeight="1">
      <c r="J85" s="4" t="s">
        <v>67</v>
      </c>
      <c r="K85" s="4">
        <v>3800.0</v>
      </c>
      <c r="L85" s="4">
        <v>1.0</v>
      </c>
      <c r="M85" s="4">
        <v>3800.0</v>
      </c>
      <c r="N85" s="18">
        <v>45328.0</v>
      </c>
      <c r="O85" s="4" t="s">
        <v>8</v>
      </c>
    </row>
    <row r="86" ht="14.25" customHeight="1">
      <c r="J86" s="4" t="s">
        <v>26</v>
      </c>
      <c r="K86" s="4">
        <v>3500.0</v>
      </c>
      <c r="L86" s="4">
        <v>1.0</v>
      </c>
      <c r="M86" s="4">
        <v>3500.0</v>
      </c>
      <c r="N86" s="18">
        <v>45383.0</v>
      </c>
      <c r="O86" s="4" t="s">
        <v>12</v>
      </c>
    </row>
    <row r="87" ht="14.25" customHeight="1">
      <c r="J87" s="4" t="s">
        <v>43</v>
      </c>
      <c r="K87" s="4">
        <v>3200.0</v>
      </c>
      <c r="L87" s="4">
        <v>1.0</v>
      </c>
      <c r="M87" s="4">
        <v>3200.0</v>
      </c>
      <c r="N87" s="18">
        <v>45380.0</v>
      </c>
      <c r="O87" s="4" t="s">
        <v>12</v>
      </c>
    </row>
    <row r="88" ht="14.25" customHeight="1">
      <c r="J88" s="4" t="s">
        <v>61</v>
      </c>
      <c r="K88" s="4">
        <v>3200.0</v>
      </c>
      <c r="L88" s="4">
        <v>2.0</v>
      </c>
      <c r="M88" s="4">
        <v>6400.0</v>
      </c>
      <c r="N88" s="18">
        <v>45310.0</v>
      </c>
      <c r="O88" s="4" t="s">
        <v>16</v>
      </c>
    </row>
    <row r="89" ht="14.25" customHeight="1">
      <c r="J89" s="4" t="s">
        <v>62</v>
      </c>
      <c r="K89" s="4">
        <v>2700.0</v>
      </c>
      <c r="L89" s="4">
        <v>1.0</v>
      </c>
      <c r="M89" s="4">
        <v>2700.0</v>
      </c>
      <c r="N89" s="18">
        <v>45354.0</v>
      </c>
      <c r="O89" s="4" t="s">
        <v>16</v>
      </c>
    </row>
    <row r="90" ht="14.25" customHeight="1">
      <c r="J90" s="4" t="s">
        <v>30</v>
      </c>
      <c r="K90" s="4">
        <v>2500.0</v>
      </c>
      <c r="L90" s="4">
        <v>2.0</v>
      </c>
      <c r="M90" s="4">
        <v>5000.0</v>
      </c>
      <c r="N90" s="18">
        <v>45371.0</v>
      </c>
      <c r="O90" s="4" t="s">
        <v>16</v>
      </c>
    </row>
    <row r="91" ht="14.25" customHeight="1">
      <c r="J91" s="4" t="s">
        <v>54</v>
      </c>
      <c r="K91" s="4">
        <v>2200.0</v>
      </c>
      <c r="L91" s="4">
        <v>2.0</v>
      </c>
      <c r="M91" s="4">
        <v>4400.0</v>
      </c>
      <c r="N91" s="18">
        <v>45365.0</v>
      </c>
      <c r="O91" s="4" t="s">
        <v>12</v>
      </c>
    </row>
    <row r="92" ht="14.25" customHeight="1">
      <c r="J92" s="4" t="s">
        <v>19</v>
      </c>
      <c r="K92" s="4">
        <v>2000.0</v>
      </c>
      <c r="L92" s="4">
        <v>2.0</v>
      </c>
      <c r="M92" s="4">
        <v>4000.0</v>
      </c>
      <c r="N92" s="18">
        <v>45299.0</v>
      </c>
      <c r="O92" s="4" t="s">
        <v>16</v>
      </c>
    </row>
    <row r="93" ht="14.25" customHeight="1">
      <c r="J93" s="4" t="s">
        <v>68</v>
      </c>
      <c r="K93" s="4">
        <v>2000.0</v>
      </c>
      <c r="L93" s="4">
        <v>2.0</v>
      </c>
      <c r="M93" s="4">
        <v>4000.0</v>
      </c>
      <c r="N93" s="18">
        <v>45320.0</v>
      </c>
      <c r="O93" s="4" t="s">
        <v>12</v>
      </c>
    </row>
    <row r="94" ht="14.25" customHeight="1">
      <c r="J94" s="4" t="s">
        <v>13</v>
      </c>
      <c r="K94" s="4">
        <v>1800.0</v>
      </c>
      <c r="L94" s="4">
        <v>2.0</v>
      </c>
      <c r="M94" s="4">
        <v>3600.0</v>
      </c>
      <c r="N94" s="18">
        <v>45313.0</v>
      </c>
      <c r="O94" s="4" t="s">
        <v>14</v>
      </c>
    </row>
    <row r="95" ht="14.25" customHeight="1">
      <c r="J95" s="4" t="s">
        <v>50</v>
      </c>
      <c r="K95" s="4">
        <v>1700.0</v>
      </c>
      <c r="L95" s="4">
        <v>1.0</v>
      </c>
      <c r="M95" s="4">
        <v>1700.0</v>
      </c>
      <c r="N95" s="18">
        <v>45359.0</v>
      </c>
      <c r="O95" s="4" t="s">
        <v>14</v>
      </c>
    </row>
    <row r="96" ht="14.25" customHeight="1">
      <c r="J96" s="4" t="s">
        <v>36</v>
      </c>
      <c r="K96" s="4">
        <v>1500.0</v>
      </c>
      <c r="L96" s="4">
        <v>2.0</v>
      </c>
      <c r="M96" s="4">
        <v>3000.0</v>
      </c>
      <c r="N96" s="18">
        <v>45347.0</v>
      </c>
      <c r="O96" s="4" t="s">
        <v>12</v>
      </c>
    </row>
    <row r="97" ht="14.25" customHeight="1">
      <c r="J97" s="4" t="s">
        <v>11</v>
      </c>
      <c r="K97" s="4">
        <v>1200.0</v>
      </c>
      <c r="L97" s="4">
        <v>1.0</v>
      </c>
      <c r="M97" s="4">
        <v>1200.0</v>
      </c>
      <c r="N97" s="18">
        <v>45332.0</v>
      </c>
      <c r="O97" s="4" t="s">
        <v>12</v>
      </c>
    </row>
    <row r="98" ht="14.25" customHeight="1">
      <c r="J98" s="4" t="s">
        <v>23</v>
      </c>
      <c r="K98" s="4">
        <v>1200.0</v>
      </c>
      <c r="L98" s="4">
        <v>2.0</v>
      </c>
      <c r="M98" s="4">
        <v>2400.0</v>
      </c>
      <c r="N98" s="18">
        <v>45349.0</v>
      </c>
      <c r="O98" s="4" t="s">
        <v>14</v>
      </c>
    </row>
    <row r="99" ht="14.25" customHeight="1">
      <c r="J99" s="4" t="s">
        <v>32</v>
      </c>
      <c r="K99" s="4">
        <v>1200.0</v>
      </c>
      <c r="L99" s="4">
        <v>2.0</v>
      </c>
      <c r="M99" s="4">
        <v>2400.0</v>
      </c>
      <c r="N99" s="18">
        <v>45305.0</v>
      </c>
      <c r="O99" s="4" t="s">
        <v>8</v>
      </c>
    </row>
    <row r="100" ht="14.25" customHeight="1">
      <c r="J100" s="4" t="s">
        <v>45</v>
      </c>
      <c r="K100" s="4">
        <v>900.0</v>
      </c>
      <c r="L100" s="4">
        <v>3.0</v>
      </c>
      <c r="M100" s="4">
        <v>2700.0</v>
      </c>
      <c r="N100" s="18">
        <v>45317.0</v>
      </c>
      <c r="O100" s="4" t="s">
        <v>12</v>
      </c>
    </row>
    <row r="101" ht="14.25" customHeight="1">
      <c r="J101" s="4" t="s">
        <v>55</v>
      </c>
      <c r="K101" s="4">
        <v>800.0</v>
      </c>
      <c r="L101" s="4">
        <v>2.0</v>
      </c>
      <c r="M101" s="4">
        <v>1600.0</v>
      </c>
      <c r="N101" s="18">
        <v>45344.0</v>
      </c>
      <c r="O101" s="4" t="s">
        <v>14</v>
      </c>
    </row>
    <row r="102" ht="14.25" customHeight="1">
      <c r="J102" s="4" t="s">
        <v>18</v>
      </c>
      <c r="K102" s="4">
        <v>750.0</v>
      </c>
      <c r="L102" s="4">
        <v>1.0</v>
      </c>
      <c r="M102" s="4">
        <v>750.0</v>
      </c>
      <c r="N102" s="18">
        <v>45337.0</v>
      </c>
      <c r="O102" s="4" t="s">
        <v>8</v>
      </c>
    </row>
    <row r="103" ht="14.25" customHeight="1">
      <c r="J103" s="4" t="s">
        <v>53</v>
      </c>
      <c r="K103" s="4">
        <v>700.0</v>
      </c>
      <c r="L103" s="4">
        <v>2.0</v>
      </c>
      <c r="M103" s="4">
        <v>1400.0</v>
      </c>
      <c r="N103" s="18">
        <v>45312.0</v>
      </c>
      <c r="O103" s="4" t="s">
        <v>12</v>
      </c>
    </row>
    <row r="104" ht="14.25" customHeight="1">
      <c r="J104" s="4" t="s">
        <v>15</v>
      </c>
      <c r="K104" s="4">
        <v>600.0</v>
      </c>
      <c r="L104" s="4">
        <v>3.0</v>
      </c>
      <c r="M104" s="4">
        <v>1800.0</v>
      </c>
      <c r="N104" s="18">
        <v>45353.0</v>
      </c>
      <c r="O104" s="4" t="s">
        <v>16</v>
      </c>
    </row>
    <row r="105" ht="14.25" customHeight="1">
      <c r="J105" s="4" t="s">
        <v>57</v>
      </c>
      <c r="K105" s="4">
        <v>600.0</v>
      </c>
      <c r="L105" s="4">
        <v>3.0</v>
      </c>
      <c r="M105" s="4">
        <v>1800.0</v>
      </c>
      <c r="N105" s="18">
        <v>45298.0</v>
      </c>
      <c r="O105" s="4" t="s">
        <v>14</v>
      </c>
    </row>
    <row r="106" ht="14.25" customHeight="1">
      <c r="J106" s="4" t="s">
        <v>21</v>
      </c>
      <c r="K106" s="4">
        <v>500.0</v>
      </c>
      <c r="L106" s="4">
        <v>3.0</v>
      </c>
      <c r="M106" s="4">
        <v>1500.0</v>
      </c>
      <c r="N106" s="18">
        <v>45369.0</v>
      </c>
      <c r="O106" s="4" t="s">
        <v>14</v>
      </c>
    </row>
    <row r="107" ht="14.25" customHeight="1">
      <c r="J107" s="4" t="s">
        <v>6</v>
      </c>
      <c r="K107" s="4">
        <v>450.0</v>
      </c>
      <c r="L107" s="4">
        <v>2.0</v>
      </c>
      <c r="M107" s="4">
        <v>900.0</v>
      </c>
      <c r="N107" s="18">
        <v>45296.0</v>
      </c>
      <c r="O107" s="4" t="s">
        <v>8</v>
      </c>
    </row>
    <row r="108" ht="14.25" customHeight="1">
      <c r="J108" s="4" t="s">
        <v>49</v>
      </c>
      <c r="K108" s="4">
        <v>300.0</v>
      </c>
      <c r="L108" s="4">
        <v>4.0</v>
      </c>
      <c r="M108" s="4">
        <v>1200.0</v>
      </c>
      <c r="N108" s="18">
        <v>45342.0</v>
      </c>
      <c r="O108" s="4" t="s">
        <v>8</v>
      </c>
    </row>
    <row r="109" ht="14.25" customHeight="1">
      <c r="J109" s="4" t="s">
        <v>37</v>
      </c>
      <c r="K109" s="4">
        <v>150.0</v>
      </c>
      <c r="L109" s="4">
        <v>5.0</v>
      </c>
      <c r="M109" s="4">
        <v>750.0</v>
      </c>
      <c r="N109" s="18">
        <v>45388.0</v>
      </c>
      <c r="O109" s="4" t="s">
        <v>14</v>
      </c>
    </row>
    <row r="110" ht="14.25" customHeight="1"/>
    <row r="111" ht="14.25" customHeight="1"/>
    <row r="112" ht="14.25" customHeight="1"/>
    <row r="113" ht="14.25" customHeight="1"/>
    <row r="114" ht="14.25" customHeight="1">
      <c r="J114" s="17" t="s">
        <v>73</v>
      </c>
      <c r="K114" s="19" t="str">
        <f>FORMULATEXT(J115)</f>
        <v>=Sort(B2:G44, 6,1,4,0)</v>
      </c>
      <c r="L114" s="6"/>
      <c r="M114" s="7"/>
    </row>
    <row r="115" ht="14.25" customHeight="1">
      <c r="J115" s="4" t="str">
        <f t="array" ref="J115:O157">Sort(B2:G44, 6,1,4,0)</f>
        <v>Robot Vacuum Cleaner</v>
      </c>
      <c r="K115" s="4">
        <v>20000.0</v>
      </c>
      <c r="L115" s="4">
        <v>1.0</v>
      </c>
      <c r="M115" s="4">
        <v>20000.0</v>
      </c>
      <c r="N115" s="18">
        <v>45379.0</v>
      </c>
      <c r="O115" s="4" t="s">
        <v>8</v>
      </c>
    </row>
    <row r="116" ht="14.25" customHeight="1">
      <c r="J116" s="4" t="s">
        <v>56</v>
      </c>
      <c r="K116" s="4">
        <v>16000.0</v>
      </c>
      <c r="L116" s="4">
        <v>1.0</v>
      </c>
      <c r="M116" s="4">
        <v>16000.0</v>
      </c>
      <c r="N116" s="18">
        <v>45350.0</v>
      </c>
      <c r="O116" s="4" t="s">
        <v>8</v>
      </c>
    </row>
    <row r="117" ht="14.25" customHeight="1">
      <c r="J117" s="4" t="s">
        <v>60</v>
      </c>
      <c r="K117" s="4">
        <v>9000.0</v>
      </c>
      <c r="L117" s="4">
        <v>1.0</v>
      </c>
      <c r="M117" s="4">
        <v>9000.0</v>
      </c>
      <c r="N117" s="18">
        <v>45375.0</v>
      </c>
      <c r="O117" s="4" t="s">
        <v>8</v>
      </c>
    </row>
    <row r="118" ht="14.25" customHeight="1">
      <c r="J118" s="4" t="s">
        <v>34</v>
      </c>
      <c r="K118" s="4">
        <v>7200.0</v>
      </c>
      <c r="L118" s="4">
        <v>1.0</v>
      </c>
      <c r="M118" s="4">
        <v>7200.0</v>
      </c>
      <c r="N118" s="18">
        <v>45356.0</v>
      </c>
      <c r="O118" s="4" t="s">
        <v>8</v>
      </c>
    </row>
    <row r="119" ht="14.25" customHeight="1">
      <c r="J119" s="4" t="s">
        <v>66</v>
      </c>
      <c r="K119" s="4">
        <v>6800.0</v>
      </c>
      <c r="L119" s="4">
        <v>1.0</v>
      </c>
      <c r="M119" s="4">
        <v>6800.0</v>
      </c>
      <c r="N119" s="18">
        <v>45361.0</v>
      </c>
      <c r="O119" s="4" t="s">
        <v>8</v>
      </c>
    </row>
    <row r="120" ht="14.25" customHeight="1">
      <c r="J120" s="4" t="s">
        <v>69</v>
      </c>
      <c r="K120" s="4">
        <v>5600.0</v>
      </c>
      <c r="L120" s="4">
        <v>1.0</v>
      </c>
      <c r="M120" s="4">
        <v>5600.0</v>
      </c>
      <c r="N120" s="18">
        <v>45389.0</v>
      </c>
      <c r="O120" s="4" t="s">
        <v>8</v>
      </c>
    </row>
    <row r="121" ht="14.25" customHeight="1">
      <c r="J121" s="4" t="s">
        <v>27</v>
      </c>
      <c r="K121" s="4">
        <v>4500.0</v>
      </c>
      <c r="L121" s="4">
        <v>1.0</v>
      </c>
      <c r="M121" s="4">
        <v>4500.0</v>
      </c>
      <c r="N121" s="18">
        <v>45321.0</v>
      </c>
      <c r="O121" s="4" t="s">
        <v>8</v>
      </c>
    </row>
    <row r="122" ht="14.25" customHeight="1">
      <c r="J122" s="4" t="s">
        <v>67</v>
      </c>
      <c r="K122" s="4">
        <v>3800.0</v>
      </c>
      <c r="L122" s="4">
        <v>1.0</v>
      </c>
      <c r="M122" s="4">
        <v>3800.0</v>
      </c>
      <c r="N122" s="18">
        <v>45328.0</v>
      </c>
      <c r="O122" s="4" t="s">
        <v>8</v>
      </c>
    </row>
    <row r="123" ht="14.25" customHeight="1">
      <c r="J123" s="4" t="s">
        <v>32</v>
      </c>
      <c r="K123" s="4">
        <v>1200.0</v>
      </c>
      <c r="L123" s="4">
        <v>2.0</v>
      </c>
      <c r="M123" s="4">
        <v>2400.0</v>
      </c>
      <c r="N123" s="18">
        <v>45305.0</v>
      </c>
      <c r="O123" s="4" t="s">
        <v>8</v>
      </c>
    </row>
    <row r="124" ht="14.25" customHeight="1">
      <c r="J124" s="4" t="s">
        <v>49</v>
      </c>
      <c r="K124" s="4">
        <v>300.0</v>
      </c>
      <c r="L124" s="4">
        <v>4.0</v>
      </c>
      <c r="M124" s="4">
        <v>1200.0</v>
      </c>
      <c r="N124" s="18">
        <v>45342.0</v>
      </c>
      <c r="O124" s="4" t="s">
        <v>8</v>
      </c>
    </row>
    <row r="125" ht="14.25" customHeight="1">
      <c r="J125" s="4" t="s">
        <v>6</v>
      </c>
      <c r="K125" s="4">
        <v>450.0</v>
      </c>
      <c r="L125" s="4">
        <v>2.0</v>
      </c>
      <c r="M125" s="4">
        <v>900.0</v>
      </c>
      <c r="N125" s="18">
        <v>45296.0</v>
      </c>
      <c r="O125" s="4" t="s">
        <v>8</v>
      </c>
    </row>
    <row r="126" ht="14.25" customHeight="1">
      <c r="J126" s="4" t="s">
        <v>18</v>
      </c>
      <c r="K126" s="4">
        <v>750.0</v>
      </c>
      <c r="L126" s="4">
        <v>1.0</v>
      </c>
      <c r="M126" s="4">
        <v>750.0</v>
      </c>
      <c r="N126" s="18">
        <v>45337.0</v>
      </c>
      <c r="O126" s="4" t="s">
        <v>8</v>
      </c>
    </row>
    <row r="127" ht="14.25" customHeight="1">
      <c r="J127" s="4" t="s">
        <v>46</v>
      </c>
      <c r="K127" s="4">
        <v>12500.0</v>
      </c>
      <c r="L127" s="4">
        <v>1.0</v>
      </c>
      <c r="M127" s="4">
        <v>12500.0</v>
      </c>
      <c r="N127" s="18">
        <v>45391.0</v>
      </c>
      <c r="O127" s="4" t="s">
        <v>12</v>
      </c>
    </row>
    <row r="128" ht="14.25" customHeight="1">
      <c r="J128" s="4" t="s">
        <v>59</v>
      </c>
      <c r="K128" s="4">
        <v>11000.0</v>
      </c>
      <c r="L128" s="4">
        <v>1.0</v>
      </c>
      <c r="M128" s="4">
        <v>11000.0</v>
      </c>
      <c r="N128" s="18">
        <v>45331.0</v>
      </c>
      <c r="O128" s="4" t="s">
        <v>12</v>
      </c>
    </row>
    <row r="129" ht="14.25" customHeight="1">
      <c r="J129" s="4" t="s">
        <v>39</v>
      </c>
      <c r="K129" s="4">
        <v>8500.0</v>
      </c>
      <c r="L129" s="4">
        <v>1.0</v>
      </c>
      <c r="M129" s="4">
        <v>8500.0</v>
      </c>
      <c r="N129" s="18">
        <v>45339.0</v>
      </c>
      <c r="O129" s="4" t="s">
        <v>12</v>
      </c>
    </row>
    <row r="130" ht="14.25" customHeight="1">
      <c r="J130" s="4" t="s">
        <v>71</v>
      </c>
      <c r="K130" s="4">
        <v>7000.0</v>
      </c>
      <c r="L130" s="4">
        <v>1.0</v>
      </c>
      <c r="M130" s="4">
        <v>7000.0</v>
      </c>
      <c r="N130" s="18">
        <v>45300.0</v>
      </c>
      <c r="O130" s="4" t="s">
        <v>12</v>
      </c>
    </row>
    <row r="131" ht="14.25" customHeight="1">
      <c r="J131" s="4" t="s">
        <v>58</v>
      </c>
      <c r="K131" s="4">
        <v>5500.0</v>
      </c>
      <c r="L131" s="4">
        <v>1.0</v>
      </c>
      <c r="M131" s="4">
        <v>5500.0</v>
      </c>
      <c r="N131" s="18">
        <v>45384.0</v>
      </c>
      <c r="O131" s="4" t="s">
        <v>12</v>
      </c>
    </row>
    <row r="132" ht="14.25" customHeight="1">
      <c r="J132" s="4" t="s">
        <v>54</v>
      </c>
      <c r="K132" s="4">
        <v>2200.0</v>
      </c>
      <c r="L132" s="4">
        <v>2.0</v>
      </c>
      <c r="M132" s="4">
        <v>4400.0</v>
      </c>
      <c r="N132" s="18">
        <v>45365.0</v>
      </c>
      <c r="O132" s="4" t="s">
        <v>12</v>
      </c>
    </row>
    <row r="133" ht="14.25" customHeight="1">
      <c r="J133" s="4" t="s">
        <v>68</v>
      </c>
      <c r="K133" s="4">
        <v>2000.0</v>
      </c>
      <c r="L133" s="4">
        <v>2.0</v>
      </c>
      <c r="M133" s="4">
        <v>4000.0</v>
      </c>
      <c r="N133" s="18">
        <v>45320.0</v>
      </c>
      <c r="O133" s="4" t="s">
        <v>12</v>
      </c>
    </row>
    <row r="134" ht="14.25" customHeight="1">
      <c r="J134" s="4" t="s">
        <v>26</v>
      </c>
      <c r="K134" s="4">
        <v>3500.0</v>
      </c>
      <c r="L134" s="4">
        <v>1.0</v>
      </c>
      <c r="M134" s="4">
        <v>3500.0</v>
      </c>
      <c r="N134" s="18">
        <v>45383.0</v>
      </c>
      <c r="O134" s="4" t="s">
        <v>12</v>
      </c>
    </row>
    <row r="135" ht="14.25" customHeight="1">
      <c r="J135" s="4" t="s">
        <v>43</v>
      </c>
      <c r="K135" s="4">
        <v>3200.0</v>
      </c>
      <c r="L135" s="4">
        <v>1.0</v>
      </c>
      <c r="M135" s="4">
        <v>3200.0</v>
      </c>
      <c r="N135" s="18">
        <v>45380.0</v>
      </c>
      <c r="O135" s="4" t="s">
        <v>12</v>
      </c>
    </row>
    <row r="136" ht="14.25" customHeight="1">
      <c r="J136" s="4" t="s">
        <v>36</v>
      </c>
      <c r="K136" s="4">
        <v>1500.0</v>
      </c>
      <c r="L136" s="4">
        <v>2.0</v>
      </c>
      <c r="M136" s="4">
        <v>3000.0</v>
      </c>
      <c r="N136" s="18">
        <v>45347.0</v>
      </c>
      <c r="O136" s="4" t="s">
        <v>12</v>
      </c>
    </row>
    <row r="137" ht="14.25" customHeight="1">
      <c r="J137" s="4" t="s">
        <v>45</v>
      </c>
      <c r="K137" s="4">
        <v>900.0</v>
      </c>
      <c r="L137" s="4">
        <v>3.0</v>
      </c>
      <c r="M137" s="4">
        <v>2700.0</v>
      </c>
      <c r="N137" s="18">
        <v>45317.0</v>
      </c>
      <c r="O137" s="4" t="s">
        <v>12</v>
      </c>
    </row>
    <row r="138" ht="14.25" customHeight="1">
      <c r="J138" s="4" t="s">
        <v>53</v>
      </c>
      <c r="K138" s="4">
        <v>700.0</v>
      </c>
      <c r="L138" s="4">
        <v>2.0</v>
      </c>
      <c r="M138" s="4">
        <v>1400.0</v>
      </c>
      <c r="N138" s="18">
        <v>45312.0</v>
      </c>
      <c r="O138" s="4" t="s">
        <v>12</v>
      </c>
    </row>
    <row r="139" ht="14.25" customHeight="1">
      <c r="J139" s="4" t="s">
        <v>11</v>
      </c>
      <c r="K139" s="4">
        <v>1200.0</v>
      </c>
      <c r="L139" s="4">
        <v>1.0</v>
      </c>
      <c r="M139" s="4">
        <v>1200.0</v>
      </c>
      <c r="N139" s="18">
        <v>45332.0</v>
      </c>
      <c r="O139" s="4" t="s">
        <v>12</v>
      </c>
    </row>
    <row r="140" ht="14.25" customHeight="1">
      <c r="J140" s="4" t="s">
        <v>64</v>
      </c>
      <c r="K140" s="4">
        <v>15000.0</v>
      </c>
      <c r="L140" s="4">
        <v>1.0</v>
      </c>
      <c r="M140" s="4">
        <v>15000.0</v>
      </c>
      <c r="N140" s="18">
        <v>45307.0</v>
      </c>
      <c r="O140" s="4" t="s">
        <v>16</v>
      </c>
    </row>
    <row r="141" ht="14.25" customHeight="1">
      <c r="J141" s="4" t="s">
        <v>65</v>
      </c>
      <c r="K141" s="4">
        <v>8500.0</v>
      </c>
      <c r="L141" s="4">
        <v>1.0</v>
      </c>
      <c r="M141" s="4">
        <v>8500.0</v>
      </c>
      <c r="N141" s="18">
        <v>45336.0</v>
      </c>
      <c r="O141" s="4" t="s">
        <v>16</v>
      </c>
    </row>
    <row r="142" ht="14.25" customHeight="1">
      <c r="J142" s="4" t="s">
        <v>51</v>
      </c>
      <c r="K142" s="4">
        <v>8000.0</v>
      </c>
      <c r="L142" s="4">
        <v>1.0</v>
      </c>
      <c r="M142" s="4">
        <v>8000.0</v>
      </c>
      <c r="N142" s="18">
        <v>45327.0</v>
      </c>
      <c r="O142" s="4" t="s">
        <v>16</v>
      </c>
    </row>
    <row r="143" ht="14.25" customHeight="1">
      <c r="J143" s="4" t="s">
        <v>61</v>
      </c>
      <c r="K143" s="4">
        <v>3200.0</v>
      </c>
      <c r="L143" s="4">
        <v>2.0</v>
      </c>
      <c r="M143" s="4">
        <v>6400.0</v>
      </c>
      <c r="N143" s="18">
        <v>45310.0</v>
      </c>
      <c r="O143" s="4" t="s">
        <v>16</v>
      </c>
    </row>
    <row r="144" ht="14.25" customHeight="1">
      <c r="J144" s="4" t="s">
        <v>29</v>
      </c>
      <c r="K144" s="4">
        <v>5800.0</v>
      </c>
      <c r="L144" s="4">
        <v>1.0</v>
      </c>
      <c r="M144" s="4">
        <v>5800.0</v>
      </c>
      <c r="N144" s="18">
        <v>45334.0</v>
      </c>
      <c r="O144" s="4" t="s">
        <v>16</v>
      </c>
    </row>
    <row r="145" ht="14.25" customHeight="1">
      <c r="J145" s="4" t="s">
        <v>30</v>
      </c>
      <c r="K145" s="4">
        <v>2500.0</v>
      </c>
      <c r="L145" s="4">
        <v>2.0</v>
      </c>
      <c r="M145" s="4">
        <v>5000.0</v>
      </c>
      <c r="N145" s="18">
        <v>45371.0</v>
      </c>
      <c r="O145" s="4" t="s">
        <v>16</v>
      </c>
    </row>
    <row r="146" ht="14.25" customHeight="1">
      <c r="J146" s="4" t="s">
        <v>19</v>
      </c>
      <c r="K146" s="4">
        <v>2000.0</v>
      </c>
      <c r="L146" s="4">
        <v>2.0</v>
      </c>
      <c r="M146" s="4">
        <v>4000.0</v>
      </c>
      <c r="N146" s="18">
        <v>45299.0</v>
      </c>
      <c r="O146" s="4" t="s">
        <v>16</v>
      </c>
    </row>
    <row r="147" ht="14.25" customHeight="1">
      <c r="J147" s="4" t="s">
        <v>62</v>
      </c>
      <c r="K147" s="4">
        <v>2700.0</v>
      </c>
      <c r="L147" s="4">
        <v>1.0</v>
      </c>
      <c r="M147" s="4">
        <v>2700.0</v>
      </c>
      <c r="N147" s="18">
        <v>45354.0</v>
      </c>
      <c r="O147" s="4" t="s">
        <v>16</v>
      </c>
    </row>
    <row r="148" ht="14.25" customHeight="1">
      <c r="J148" s="4" t="s">
        <v>15</v>
      </c>
      <c r="K148" s="4">
        <v>600.0</v>
      </c>
      <c r="L148" s="4">
        <v>3.0</v>
      </c>
      <c r="M148" s="4">
        <v>1800.0</v>
      </c>
      <c r="N148" s="18">
        <v>45353.0</v>
      </c>
      <c r="O148" s="4" t="s">
        <v>16</v>
      </c>
    </row>
    <row r="149" ht="14.25" customHeight="1">
      <c r="J149" s="4" t="s">
        <v>47</v>
      </c>
      <c r="K149" s="4">
        <v>9000.0</v>
      </c>
      <c r="L149" s="4">
        <v>1.0</v>
      </c>
      <c r="M149" s="4">
        <v>9000.0</v>
      </c>
      <c r="N149" s="18">
        <v>45302.0</v>
      </c>
      <c r="O149" s="4" t="s">
        <v>14</v>
      </c>
    </row>
    <row r="150" ht="14.25" customHeight="1">
      <c r="J150" s="4" t="s">
        <v>72</v>
      </c>
      <c r="K150" s="4">
        <v>6200.0</v>
      </c>
      <c r="L150" s="4">
        <v>1.0</v>
      </c>
      <c r="M150" s="4">
        <v>6200.0</v>
      </c>
      <c r="N150" s="18">
        <v>45368.0</v>
      </c>
      <c r="O150" s="4" t="s">
        <v>14</v>
      </c>
    </row>
    <row r="151" ht="14.25" customHeight="1">
      <c r="J151" s="4" t="s">
        <v>13</v>
      </c>
      <c r="K151" s="4">
        <v>1800.0</v>
      </c>
      <c r="L151" s="4">
        <v>2.0</v>
      </c>
      <c r="M151" s="4">
        <v>3600.0</v>
      </c>
      <c r="N151" s="18">
        <v>45313.0</v>
      </c>
      <c r="O151" s="4" t="s">
        <v>14</v>
      </c>
    </row>
    <row r="152" ht="14.25" customHeight="1">
      <c r="J152" s="4" t="s">
        <v>23</v>
      </c>
      <c r="K152" s="4">
        <v>1200.0</v>
      </c>
      <c r="L152" s="4">
        <v>2.0</v>
      </c>
      <c r="M152" s="4">
        <v>2400.0</v>
      </c>
      <c r="N152" s="18">
        <v>45349.0</v>
      </c>
      <c r="O152" s="4" t="s">
        <v>14</v>
      </c>
    </row>
    <row r="153" ht="14.25" customHeight="1">
      <c r="J153" s="4" t="s">
        <v>57</v>
      </c>
      <c r="K153" s="4">
        <v>600.0</v>
      </c>
      <c r="L153" s="4">
        <v>3.0</v>
      </c>
      <c r="M153" s="4">
        <v>1800.0</v>
      </c>
      <c r="N153" s="18">
        <v>45298.0</v>
      </c>
      <c r="O153" s="4" t="s">
        <v>14</v>
      </c>
    </row>
    <row r="154" ht="14.25" customHeight="1">
      <c r="J154" s="4" t="s">
        <v>50</v>
      </c>
      <c r="K154" s="4">
        <v>1700.0</v>
      </c>
      <c r="L154" s="4">
        <v>1.0</v>
      </c>
      <c r="M154" s="4">
        <v>1700.0</v>
      </c>
      <c r="N154" s="18">
        <v>45359.0</v>
      </c>
      <c r="O154" s="4" t="s">
        <v>14</v>
      </c>
    </row>
    <row r="155" ht="14.25" customHeight="1">
      <c r="J155" s="4" t="s">
        <v>55</v>
      </c>
      <c r="K155" s="4">
        <v>800.0</v>
      </c>
      <c r="L155" s="4">
        <v>2.0</v>
      </c>
      <c r="M155" s="4">
        <v>1600.0</v>
      </c>
      <c r="N155" s="18">
        <v>45344.0</v>
      </c>
      <c r="O155" s="4" t="s">
        <v>14</v>
      </c>
    </row>
    <row r="156" ht="14.25" customHeight="1">
      <c r="J156" s="4" t="s">
        <v>21</v>
      </c>
      <c r="K156" s="4">
        <v>500.0</v>
      </c>
      <c r="L156" s="4">
        <v>3.0</v>
      </c>
      <c r="M156" s="4">
        <v>1500.0</v>
      </c>
      <c r="N156" s="18">
        <v>45369.0</v>
      </c>
      <c r="O156" s="4" t="s">
        <v>14</v>
      </c>
    </row>
    <row r="157" ht="14.25" customHeight="1">
      <c r="J157" s="4" t="s">
        <v>37</v>
      </c>
      <c r="K157" s="4">
        <v>150.0</v>
      </c>
      <c r="L157" s="4">
        <v>5.0</v>
      </c>
      <c r="M157" s="4">
        <v>750.0</v>
      </c>
      <c r="N157" s="18">
        <v>45388.0</v>
      </c>
      <c r="O157" s="4" t="s">
        <v>14</v>
      </c>
    </row>
    <row r="158" ht="14.25" customHeight="1"/>
    <row r="159" ht="14.25" customHeight="1"/>
    <row r="160" ht="14.25" customHeight="1">
      <c r="J160" s="4" t="s">
        <v>28</v>
      </c>
    </row>
    <row r="161" ht="14.25" customHeight="1">
      <c r="J161" s="17" t="s">
        <v>74</v>
      </c>
      <c r="K161" s="19" t="str">
        <f>FORMULATEXT(J162)</f>
        <v>=Sort(filter(B2:G44,G2:G44="Mumbai"),4,0)</v>
      </c>
      <c r="L161" s="6"/>
      <c r="M161" s="6"/>
      <c r="N161" s="6"/>
      <c r="O161" s="7"/>
    </row>
    <row r="162" ht="14.25" customHeight="1">
      <c r="J162" s="4" t="str">
        <f>IFERROR(__xludf.DUMMYFUNCTION("Sort(filter(B2:G44,G2:G44=""Mumbai""),4,0)"),"Ergonomic Chair")</f>
        <v>Ergonomic Chair</v>
      </c>
      <c r="K162" s="4">
        <f>IFERROR(__xludf.DUMMYFUNCTION("""COMPUTED_VALUE"""),12500.0)</f>
        <v>12500</v>
      </c>
      <c r="L162" s="4">
        <f>IFERROR(__xludf.DUMMYFUNCTION("""COMPUTED_VALUE"""),1.0)</f>
        <v>1</v>
      </c>
      <c r="M162" s="4">
        <f>IFERROR(__xludf.DUMMYFUNCTION("""COMPUTED_VALUE"""),12500.0)</f>
        <v>12500</v>
      </c>
      <c r="N162" s="18">
        <f>IFERROR(__xludf.DUMMYFUNCTION("""COMPUTED_VALUE"""),45391.0)</f>
        <v>45391</v>
      </c>
      <c r="O162" s="4" t="str">
        <f>IFERROR(__xludf.DUMMYFUNCTION("""COMPUTED_VALUE"""),"Mumbai")</f>
        <v>Mumbai</v>
      </c>
    </row>
    <row r="163" ht="14.25" customHeight="1">
      <c r="J163" s="4" t="str">
        <f>IFERROR(__xludf.DUMMYFUNCTION("""COMPUTED_VALUE"""),"E-Book Reader")</f>
        <v>E-Book Reader</v>
      </c>
      <c r="K163" s="4">
        <f>IFERROR(__xludf.DUMMYFUNCTION("""COMPUTED_VALUE"""),11000.0)</f>
        <v>11000</v>
      </c>
      <c r="L163" s="4">
        <f>IFERROR(__xludf.DUMMYFUNCTION("""COMPUTED_VALUE"""),1.0)</f>
        <v>1</v>
      </c>
      <c r="M163" s="4">
        <f>IFERROR(__xludf.DUMMYFUNCTION("""COMPUTED_VALUE"""),11000.0)</f>
        <v>11000</v>
      </c>
      <c r="N163" s="18">
        <f>IFERROR(__xludf.DUMMYFUNCTION("""COMPUTED_VALUE"""),45331.0)</f>
        <v>45331</v>
      </c>
      <c r="O163" s="4" t="str">
        <f>IFERROR(__xludf.DUMMYFUNCTION("""COMPUTED_VALUE"""),"Mumbai")</f>
        <v>Mumbai</v>
      </c>
    </row>
    <row r="164" ht="14.25" customHeight="1">
      <c r="J164" s="4" t="str">
        <f>IFERROR(__xludf.DUMMYFUNCTION("""COMPUTED_VALUE"""),"Noise Cancelling Headphones")</f>
        <v>Noise Cancelling Headphones</v>
      </c>
      <c r="K164" s="4">
        <f>IFERROR(__xludf.DUMMYFUNCTION("""COMPUTED_VALUE"""),8500.0)</f>
        <v>8500</v>
      </c>
      <c r="L164" s="4">
        <f>IFERROR(__xludf.DUMMYFUNCTION("""COMPUTED_VALUE"""),1.0)</f>
        <v>1</v>
      </c>
      <c r="M164" s="4">
        <f>IFERROR(__xludf.DUMMYFUNCTION("""COMPUTED_VALUE"""),8500.0)</f>
        <v>8500</v>
      </c>
      <c r="N164" s="18">
        <f>IFERROR(__xludf.DUMMYFUNCTION("""COMPUTED_VALUE"""),45339.0)</f>
        <v>45339</v>
      </c>
      <c r="O164" s="4" t="str">
        <f>IFERROR(__xludf.DUMMYFUNCTION("""COMPUTED_VALUE"""),"Mumbai")</f>
        <v>Mumbai</v>
      </c>
    </row>
    <row r="165" ht="14.25" customHeight="1">
      <c r="J165" s="4" t="str">
        <f>IFERROR(__xludf.DUMMYFUNCTION("""COMPUTED_VALUE"""),"Air Purifier")</f>
        <v>Air Purifier</v>
      </c>
      <c r="K165" s="4">
        <f>IFERROR(__xludf.DUMMYFUNCTION("""COMPUTED_VALUE"""),7000.0)</f>
        <v>7000</v>
      </c>
      <c r="L165" s="4">
        <f>IFERROR(__xludf.DUMMYFUNCTION("""COMPUTED_VALUE"""),1.0)</f>
        <v>1</v>
      </c>
      <c r="M165" s="4">
        <f>IFERROR(__xludf.DUMMYFUNCTION("""COMPUTED_VALUE"""),7000.0)</f>
        <v>7000</v>
      </c>
      <c r="N165" s="18">
        <f>IFERROR(__xludf.DUMMYFUNCTION("""COMPUTED_VALUE"""),45300.0)</f>
        <v>45300</v>
      </c>
      <c r="O165" s="4" t="str">
        <f>IFERROR(__xludf.DUMMYFUNCTION("""COMPUTED_VALUE"""),"Mumbai")</f>
        <v>Mumbai</v>
      </c>
    </row>
    <row r="166" ht="14.25" customHeight="1">
      <c r="J166" s="4" t="str">
        <f>IFERROR(__xludf.DUMMYFUNCTION("""COMPUTED_VALUE"""),"Smart Thermostat")</f>
        <v>Smart Thermostat</v>
      </c>
      <c r="K166" s="4">
        <f>IFERROR(__xludf.DUMMYFUNCTION("""COMPUTED_VALUE"""),5500.0)</f>
        <v>5500</v>
      </c>
      <c r="L166" s="4">
        <f>IFERROR(__xludf.DUMMYFUNCTION("""COMPUTED_VALUE"""),1.0)</f>
        <v>1</v>
      </c>
      <c r="M166" s="4">
        <f>IFERROR(__xludf.DUMMYFUNCTION("""COMPUTED_VALUE"""),5500.0)</f>
        <v>5500</v>
      </c>
      <c r="N166" s="18">
        <f>IFERROR(__xludf.DUMMYFUNCTION("""COMPUTED_VALUE"""),45384.0)</f>
        <v>45384</v>
      </c>
      <c r="O166" s="4" t="str">
        <f>IFERROR(__xludf.DUMMYFUNCTION("""COMPUTED_VALUE"""),"Mumbai")</f>
        <v>Mumbai</v>
      </c>
    </row>
    <row r="167" ht="14.25" customHeight="1">
      <c r="J167" s="4" t="str">
        <f>IFERROR(__xludf.DUMMYFUNCTION("""COMPUTED_VALUE"""),"Wireless Keyboard")</f>
        <v>Wireless Keyboard</v>
      </c>
      <c r="K167" s="4">
        <f>IFERROR(__xludf.DUMMYFUNCTION("""COMPUTED_VALUE"""),2200.0)</f>
        <v>2200</v>
      </c>
      <c r="L167" s="4">
        <f>IFERROR(__xludf.DUMMYFUNCTION("""COMPUTED_VALUE"""),2.0)</f>
        <v>2</v>
      </c>
      <c r="M167" s="4">
        <f>IFERROR(__xludf.DUMMYFUNCTION("""COMPUTED_VALUE"""),4400.0)</f>
        <v>4400</v>
      </c>
      <c r="N167" s="18">
        <f>IFERROR(__xludf.DUMMYFUNCTION("""COMPUTED_VALUE"""),45365.0)</f>
        <v>45365</v>
      </c>
      <c r="O167" s="4" t="str">
        <f>IFERROR(__xludf.DUMMYFUNCTION("""COMPUTED_VALUE"""),"Mumbai")</f>
        <v>Mumbai</v>
      </c>
    </row>
    <row r="168" ht="14.25" customHeight="1">
      <c r="J168" s="4" t="str">
        <f>IFERROR(__xludf.DUMMYFUNCTION("""COMPUTED_VALUE"""),"Wireless Charging Pad")</f>
        <v>Wireless Charging Pad</v>
      </c>
      <c r="K168" s="4">
        <f>IFERROR(__xludf.DUMMYFUNCTION("""COMPUTED_VALUE"""),2000.0)</f>
        <v>2000</v>
      </c>
      <c r="L168" s="4">
        <f>IFERROR(__xludf.DUMMYFUNCTION("""COMPUTED_VALUE"""),2.0)</f>
        <v>2</v>
      </c>
      <c r="M168" s="4">
        <f>IFERROR(__xludf.DUMMYFUNCTION("""COMPUTED_VALUE"""),4000.0)</f>
        <v>4000</v>
      </c>
      <c r="N168" s="18">
        <f>IFERROR(__xludf.DUMMYFUNCTION("""COMPUTED_VALUE"""),45320.0)</f>
        <v>45320</v>
      </c>
      <c r="O168" s="4" t="str">
        <f>IFERROR(__xludf.DUMMYFUNCTION("""COMPUTED_VALUE"""),"Mumbai")</f>
        <v>Mumbai</v>
      </c>
    </row>
    <row r="169" ht="14.25" customHeight="1">
      <c r="J169" s="4" t="str">
        <f>IFERROR(__xludf.DUMMYFUNCTION("""COMPUTED_VALUE"""),"Smartwatch")</f>
        <v>Smartwatch</v>
      </c>
      <c r="K169" s="4">
        <f>IFERROR(__xludf.DUMMYFUNCTION("""COMPUTED_VALUE"""),3500.0)</f>
        <v>3500</v>
      </c>
      <c r="L169" s="4">
        <f>IFERROR(__xludf.DUMMYFUNCTION("""COMPUTED_VALUE"""),1.0)</f>
        <v>1</v>
      </c>
      <c r="M169" s="4">
        <f>IFERROR(__xludf.DUMMYFUNCTION("""COMPUTED_VALUE"""),3500.0)</f>
        <v>3500</v>
      </c>
      <c r="N169" s="18">
        <f>IFERROR(__xludf.DUMMYFUNCTION("""COMPUTED_VALUE"""),45383.0)</f>
        <v>45383</v>
      </c>
      <c r="O169" s="4" t="str">
        <f>IFERROR(__xludf.DUMMYFUNCTION("""COMPUTED_VALUE"""),"Mumbai")</f>
        <v>Mumbai</v>
      </c>
    </row>
    <row r="170" ht="14.25" customHeight="1">
      <c r="J170" s="4" t="str">
        <f>IFERROR(__xludf.DUMMYFUNCTION("""COMPUTED_VALUE"""),"Webcam Full HD")</f>
        <v>Webcam Full HD</v>
      </c>
      <c r="K170" s="4">
        <f>IFERROR(__xludf.DUMMYFUNCTION("""COMPUTED_VALUE"""),3200.0)</f>
        <v>3200</v>
      </c>
      <c r="L170" s="4">
        <f>IFERROR(__xludf.DUMMYFUNCTION("""COMPUTED_VALUE"""),1.0)</f>
        <v>1</v>
      </c>
      <c r="M170" s="4">
        <f>IFERROR(__xludf.DUMMYFUNCTION("""COMPUTED_VALUE"""),3200.0)</f>
        <v>3200</v>
      </c>
      <c r="N170" s="18">
        <f>IFERROR(__xludf.DUMMYFUNCTION("""COMPUTED_VALUE"""),45380.0)</f>
        <v>45380</v>
      </c>
      <c r="O170" s="4" t="str">
        <f>IFERROR(__xludf.DUMMYFUNCTION("""COMPUTED_VALUE"""),"Mumbai")</f>
        <v>Mumbai</v>
      </c>
    </row>
    <row r="171" ht="14.25" customHeight="1">
      <c r="J171" s="4" t="str">
        <f>IFERROR(__xludf.DUMMYFUNCTION("""COMPUTED_VALUE"""),"USB-C Hub")</f>
        <v>USB-C Hub</v>
      </c>
      <c r="K171" s="4">
        <f>IFERROR(__xludf.DUMMYFUNCTION("""COMPUTED_VALUE"""),1500.0)</f>
        <v>1500</v>
      </c>
      <c r="L171" s="4">
        <f>IFERROR(__xludf.DUMMYFUNCTION("""COMPUTED_VALUE"""),2.0)</f>
        <v>2</v>
      </c>
      <c r="M171" s="4">
        <f>IFERROR(__xludf.DUMMYFUNCTION("""COMPUTED_VALUE"""),3000.0)</f>
        <v>3000</v>
      </c>
      <c r="N171" s="18">
        <f>IFERROR(__xludf.DUMMYFUNCTION("""COMPUTED_VALUE"""),45347.0)</f>
        <v>45347</v>
      </c>
      <c r="O171" s="4" t="str">
        <f>IFERROR(__xludf.DUMMYFUNCTION("""COMPUTED_VALUE"""),"Mumbai")</f>
        <v>Mumbai</v>
      </c>
    </row>
    <row r="172" ht="14.25" customHeight="1">
      <c r="J172" s="4" t="str">
        <f>IFERROR(__xludf.DUMMYFUNCTION("""COMPUTED_VALUE"""),"Smart Bulb")</f>
        <v>Smart Bulb</v>
      </c>
      <c r="K172" s="4">
        <f>IFERROR(__xludf.DUMMYFUNCTION("""COMPUTED_VALUE"""),900.0)</f>
        <v>900</v>
      </c>
      <c r="L172" s="4">
        <f>IFERROR(__xludf.DUMMYFUNCTION("""COMPUTED_VALUE"""),3.0)</f>
        <v>3</v>
      </c>
      <c r="M172" s="4">
        <f>IFERROR(__xludf.DUMMYFUNCTION("""COMPUTED_VALUE"""),2700.0)</f>
        <v>2700</v>
      </c>
      <c r="N172" s="18">
        <f>IFERROR(__xludf.DUMMYFUNCTION("""COMPUTED_VALUE"""),45317.0)</f>
        <v>45317</v>
      </c>
      <c r="O172" s="4" t="str">
        <f>IFERROR(__xludf.DUMMYFUNCTION("""COMPUTED_VALUE"""),"Mumbai")</f>
        <v>Mumbai</v>
      </c>
    </row>
    <row r="173" ht="14.25" customHeight="1">
      <c r="J173" s="4" t="str">
        <f>IFERROR(__xludf.DUMMYFUNCTION("""COMPUTED_VALUE"""),"HDMI Cable 2m")</f>
        <v>HDMI Cable 2m</v>
      </c>
      <c r="K173" s="4">
        <f>IFERROR(__xludf.DUMMYFUNCTION("""COMPUTED_VALUE"""),700.0)</f>
        <v>700</v>
      </c>
      <c r="L173" s="4">
        <f>IFERROR(__xludf.DUMMYFUNCTION("""COMPUTED_VALUE"""),2.0)</f>
        <v>2</v>
      </c>
      <c r="M173" s="4">
        <f>IFERROR(__xludf.DUMMYFUNCTION("""COMPUTED_VALUE"""),1400.0)</f>
        <v>1400</v>
      </c>
      <c r="N173" s="18">
        <f>IFERROR(__xludf.DUMMYFUNCTION("""COMPUTED_VALUE"""),45312.0)</f>
        <v>45312</v>
      </c>
      <c r="O173" s="4" t="str">
        <f>IFERROR(__xludf.DUMMYFUNCTION("""COMPUTED_VALUE"""),"Mumbai")</f>
        <v>Mumbai</v>
      </c>
    </row>
    <row r="174" ht="14.25" customHeight="1">
      <c r="J174" s="4" t="str">
        <f>IFERROR(__xludf.DUMMYFUNCTION("""COMPUTED_VALUE"""),"Mechanical Keyboard")</f>
        <v>Mechanical Keyboard</v>
      </c>
      <c r="K174" s="4">
        <f>IFERROR(__xludf.DUMMYFUNCTION("""COMPUTED_VALUE"""),1200.0)</f>
        <v>1200</v>
      </c>
      <c r="L174" s="4">
        <f>IFERROR(__xludf.DUMMYFUNCTION("""COMPUTED_VALUE"""),1.0)</f>
        <v>1</v>
      </c>
      <c r="M174" s="4">
        <f>IFERROR(__xludf.DUMMYFUNCTION("""COMPUTED_VALUE"""),1200.0)</f>
        <v>1200</v>
      </c>
      <c r="N174" s="18">
        <f>IFERROR(__xludf.DUMMYFUNCTION("""COMPUTED_VALUE"""),45332.0)</f>
        <v>45332</v>
      </c>
      <c r="O174" s="4" t="str">
        <f>IFERROR(__xludf.DUMMYFUNCTION("""COMPUTED_VALUE"""),"Mumbai")</f>
        <v>Mumbai</v>
      </c>
    </row>
    <row r="175" ht="14.25" customHeight="1"/>
    <row r="176" ht="14.25" customHeight="1"/>
    <row r="177" ht="14.25" customHeight="1"/>
    <row r="178" ht="14.25" customHeight="1"/>
    <row r="179" ht="14.25" customHeight="1">
      <c r="J179" s="8" t="s">
        <v>77</v>
      </c>
      <c r="K179" s="20" t="str">
        <f>FORMULATEXT(J180)</f>
        <v>=sort(Filter(B2:G44,G2:G44="Delhi"),5,0)</v>
      </c>
    </row>
    <row r="180" ht="14.25" customHeight="1">
      <c r="J180" s="4" t="str">
        <f>IFERROR(__xludf.DUMMYFUNCTION("sort(Filter(B2:G44,G2:G44=""Delhi""),5,0)"),"USB Microphone")</f>
        <v>USB Microphone</v>
      </c>
      <c r="K180" s="4">
        <f>IFERROR(__xludf.DUMMYFUNCTION("""COMPUTED_VALUE"""),5600.0)</f>
        <v>5600</v>
      </c>
      <c r="L180" s="4">
        <f>IFERROR(__xludf.DUMMYFUNCTION("""COMPUTED_VALUE"""),1.0)</f>
        <v>1</v>
      </c>
      <c r="M180" s="4">
        <f>IFERROR(__xludf.DUMMYFUNCTION("""COMPUTED_VALUE"""),5600.0)</f>
        <v>5600</v>
      </c>
      <c r="N180" s="18">
        <f>IFERROR(__xludf.DUMMYFUNCTION("""COMPUTED_VALUE"""),45389.0)</f>
        <v>45389</v>
      </c>
      <c r="O180" s="4" t="str">
        <f>IFERROR(__xludf.DUMMYFUNCTION("""COMPUTED_VALUE"""),"Delhi")</f>
        <v>Delhi</v>
      </c>
    </row>
    <row r="181" ht="14.25" customHeight="1">
      <c r="J181" s="4" t="str">
        <f>IFERROR(__xludf.DUMMYFUNCTION("""COMPUTED_VALUE"""),"Robot Vacuum Cleaner")</f>
        <v>Robot Vacuum Cleaner</v>
      </c>
      <c r="K181" s="4">
        <f>IFERROR(__xludf.DUMMYFUNCTION("""COMPUTED_VALUE"""),20000.0)</f>
        <v>20000</v>
      </c>
      <c r="L181" s="4">
        <f>IFERROR(__xludf.DUMMYFUNCTION("""COMPUTED_VALUE"""),1.0)</f>
        <v>1</v>
      </c>
      <c r="M181" s="4">
        <f>IFERROR(__xludf.DUMMYFUNCTION("""COMPUTED_VALUE"""),20000.0)</f>
        <v>20000</v>
      </c>
      <c r="N181" s="18">
        <f>IFERROR(__xludf.DUMMYFUNCTION("""COMPUTED_VALUE"""),45379.0)</f>
        <v>45379</v>
      </c>
      <c r="O181" s="4" t="str">
        <f>IFERROR(__xludf.DUMMYFUNCTION("""COMPUTED_VALUE"""),"Delhi")</f>
        <v>Delhi</v>
      </c>
    </row>
    <row r="182" ht="14.25" customHeight="1">
      <c r="J182" s="4" t="str">
        <f>IFERROR(__xludf.DUMMYFUNCTION("""COMPUTED_VALUE"""),"Smart Door Lock")</f>
        <v>Smart Door Lock</v>
      </c>
      <c r="K182" s="4">
        <f>IFERROR(__xludf.DUMMYFUNCTION("""COMPUTED_VALUE"""),9000.0)</f>
        <v>9000</v>
      </c>
      <c r="L182" s="4">
        <f>IFERROR(__xludf.DUMMYFUNCTION("""COMPUTED_VALUE"""),1.0)</f>
        <v>1</v>
      </c>
      <c r="M182" s="4">
        <f>IFERROR(__xludf.DUMMYFUNCTION("""COMPUTED_VALUE"""),9000.0)</f>
        <v>9000</v>
      </c>
      <c r="N182" s="18">
        <f>IFERROR(__xludf.DUMMYFUNCTION("""COMPUTED_VALUE"""),45375.0)</f>
        <v>45375</v>
      </c>
      <c r="O182" s="4" t="str">
        <f>IFERROR(__xludf.DUMMYFUNCTION("""COMPUTED_VALUE"""),"Delhi")</f>
        <v>Delhi</v>
      </c>
    </row>
    <row r="183" ht="14.25" customHeight="1">
      <c r="J183" s="4" t="str">
        <f>IFERROR(__xludf.DUMMYFUNCTION("""COMPUTED_VALUE"""),"Digital Drawing Pad")</f>
        <v>Digital Drawing Pad</v>
      </c>
      <c r="K183" s="4">
        <f>IFERROR(__xludf.DUMMYFUNCTION("""COMPUTED_VALUE"""),6800.0)</f>
        <v>6800</v>
      </c>
      <c r="L183" s="4">
        <f>IFERROR(__xludf.DUMMYFUNCTION("""COMPUTED_VALUE"""),1.0)</f>
        <v>1</v>
      </c>
      <c r="M183" s="4">
        <f>IFERROR(__xludf.DUMMYFUNCTION("""COMPUTED_VALUE"""),6800.0)</f>
        <v>6800</v>
      </c>
      <c r="N183" s="18">
        <f>IFERROR(__xludf.DUMMYFUNCTION("""COMPUTED_VALUE"""),45361.0)</f>
        <v>45361</v>
      </c>
      <c r="O183" s="4" t="str">
        <f>IFERROR(__xludf.DUMMYFUNCTION("""COMPUTED_VALUE"""),"Delhi")</f>
        <v>Delhi</v>
      </c>
    </row>
    <row r="184" ht="14.25" customHeight="1">
      <c r="J184" s="4" t="str">
        <f>IFERROR(__xludf.DUMMYFUNCTION("""COMPUTED_VALUE"""),"Graphics Tablet")</f>
        <v>Graphics Tablet</v>
      </c>
      <c r="K184" s="4">
        <f>IFERROR(__xludf.DUMMYFUNCTION("""COMPUTED_VALUE"""),7200.0)</f>
        <v>7200</v>
      </c>
      <c r="L184" s="4">
        <f>IFERROR(__xludf.DUMMYFUNCTION("""COMPUTED_VALUE"""),1.0)</f>
        <v>1</v>
      </c>
      <c r="M184" s="4">
        <f>IFERROR(__xludf.DUMMYFUNCTION("""COMPUTED_VALUE"""),7200.0)</f>
        <v>7200</v>
      </c>
      <c r="N184" s="18">
        <f>IFERROR(__xludf.DUMMYFUNCTION("""COMPUTED_VALUE"""),45356.0)</f>
        <v>45356</v>
      </c>
      <c r="O184" s="4" t="str">
        <f>IFERROR(__xludf.DUMMYFUNCTION("""COMPUTED_VALUE"""),"Delhi")</f>
        <v>Delhi</v>
      </c>
    </row>
    <row r="185" ht="14.25" customHeight="1">
      <c r="J185" s="4" t="str">
        <f>IFERROR(__xludf.DUMMYFUNCTION("""COMPUTED_VALUE"""),"VR Headset")</f>
        <v>VR Headset</v>
      </c>
      <c r="K185" s="4">
        <f>IFERROR(__xludf.DUMMYFUNCTION("""COMPUTED_VALUE"""),16000.0)</f>
        <v>16000</v>
      </c>
      <c r="L185" s="4">
        <f>IFERROR(__xludf.DUMMYFUNCTION("""COMPUTED_VALUE"""),1.0)</f>
        <v>1</v>
      </c>
      <c r="M185" s="4">
        <f>IFERROR(__xludf.DUMMYFUNCTION("""COMPUTED_VALUE"""),16000.0)</f>
        <v>16000</v>
      </c>
      <c r="N185" s="18">
        <f>IFERROR(__xludf.DUMMYFUNCTION("""COMPUTED_VALUE"""),45350.0)</f>
        <v>45350</v>
      </c>
      <c r="O185" s="4" t="str">
        <f>IFERROR(__xludf.DUMMYFUNCTION("""COMPUTED_VALUE"""),"Delhi")</f>
        <v>Delhi</v>
      </c>
    </row>
    <row r="186" ht="14.25" customHeight="1">
      <c r="J186" s="4" t="str">
        <f>IFERROR(__xludf.DUMMYFUNCTION("""COMPUTED_VALUE"""),"USB Extension Cable")</f>
        <v>USB Extension Cable</v>
      </c>
      <c r="K186" s="4">
        <f>IFERROR(__xludf.DUMMYFUNCTION("""COMPUTED_VALUE"""),300.0)</f>
        <v>300</v>
      </c>
      <c r="L186" s="4">
        <f>IFERROR(__xludf.DUMMYFUNCTION("""COMPUTED_VALUE"""),4.0)</f>
        <v>4</v>
      </c>
      <c r="M186" s="4">
        <f>IFERROR(__xludf.DUMMYFUNCTION("""COMPUTED_VALUE"""),1200.0)</f>
        <v>1200</v>
      </c>
      <c r="N186" s="18">
        <f>IFERROR(__xludf.DUMMYFUNCTION("""COMPUTED_VALUE"""),45342.0)</f>
        <v>45342</v>
      </c>
      <c r="O186" s="4" t="str">
        <f>IFERROR(__xludf.DUMMYFUNCTION("""COMPUTED_VALUE"""),"Delhi")</f>
        <v>Delhi</v>
      </c>
    </row>
    <row r="187" ht="14.25" customHeight="1">
      <c r="J187" s="4" t="str">
        <f>IFERROR(__xludf.DUMMYFUNCTION("""COMPUTED_VALUE"""),"Laptop Stand")</f>
        <v>Laptop Stand</v>
      </c>
      <c r="K187" s="4">
        <f>IFERROR(__xludf.DUMMYFUNCTION("""COMPUTED_VALUE"""),750.0)</f>
        <v>750</v>
      </c>
      <c r="L187" s="4">
        <f>IFERROR(__xludf.DUMMYFUNCTION("""COMPUTED_VALUE"""),1.0)</f>
        <v>1</v>
      </c>
      <c r="M187" s="4">
        <f>IFERROR(__xludf.DUMMYFUNCTION("""COMPUTED_VALUE"""),750.0)</f>
        <v>750</v>
      </c>
      <c r="N187" s="18">
        <f>IFERROR(__xludf.DUMMYFUNCTION("""COMPUTED_VALUE"""),45337.0)</f>
        <v>45337</v>
      </c>
      <c r="O187" s="4" t="str">
        <f>IFERROR(__xludf.DUMMYFUNCTION("""COMPUTED_VALUE"""),"Delhi")</f>
        <v>Delhi</v>
      </c>
    </row>
    <row r="188" ht="14.25" customHeight="1">
      <c r="J188" s="4" t="str">
        <f>IFERROR(__xludf.DUMMYFUNCTION("""COMPUTED_VALUE"""),"External DVD Drive")</f>
        <v>External DVD Drive</v>
      </c>
      <c r="K188" s="4">
        <f>IFERROR(__xludf.DUMMYFUNCTION("""COMPUTED_VALUE"""),3800.0)</f>
        <v>3800</v>
      </c>
      <c r="L188" s="4">
        <f>IFERROR(__xludf.DUMMYFUNCTION("""COMPUTED_VALUE"""),1.0)</f>
        <v>1</v>
      </c>
      <c r="M188" s="4">
        <f>IFERROR(__xludf.DUMMYFUNCTION("""COMPUTED_VALUE"""),3800.0)</f>
        <v>3800</v>
      </c>
      <c r="N188" s="18">
        <f>IFERROR(__xludf.DUMMYFUNCTION("""COMPUTED_VALUE"""),45328.0)</f>
        <v>45328</v>
      </c>
      <c r="O188" s="4" t="str">
        <f>IFERROR(__xludf.DUMMYFUNCTION("""COMPUTED_VALUE"""),"Delhi")</f>
        <v>Delhi</v>
      </c>
    </row>
    <row r="189" ht="14.25" customHeight="1">
      <c r="J189" s="4" t="str">
        <f>IFERROR(__xludf.DUMMYFUNCTION("""COMPUTED_VALUE"""),"External Hard Drive 1TB")</f>
        <v>External Hard Drive 1TB</v>
      </c>
      <c r="K189" s="4">
        <f>IFERROR(__xludf.DUMMYFUNCTION("""COMPUTED_VALUE"""),4500.0)</f>
        <v>4500</v>
      </c>
      <c r="L189" s="4">
        <f>IFERROR(__xludf.DUMMYFUNCTION("""COMPUTED_VALUE"""),1.0)</f>
        <v>1</v>
      </c>
      <c r="M189" s="4">
        <f>IFERROR(__xludf.DUMMYFUNCTION("""COMPUTED_VALUE"""),4500.0)</f>
        <v>4500</v>
      </c>
      <c r="N189" s="18">
        <f>IFERROR(__xludf.DUMMYFUNCTION("""COMPUTED_VALUE"""),45321.0)</f>
        <v>45321</v>
      </c>
      <c r="O189" s="4" t="str">
        <f>IFERROR(__xludf.DUMMYFUNCTION("""COMPUTED_VALUE"""),"Delhi")</f>
        <v>Delhi</v>
      </c>
    </row>
    <row r="190" ht="14.25" customHeight="1">
      <c r="J190" s="4" t="str">
        <f>IFERROR(__xludf.DUMMYFUNCTION("""COMPUTED_VALUE"""),"LED Desk Lamp")</f>
        <v>LED Desk Lamp</v>
      </c>
      <c r="K190" s="4">
        <f>IFERROR(__xludf.DUMMYFUNCTION("""COMPUTED_VALUE"""),1200.0)</f>
        <v>1200</v>
      </c>
      <c r="L190" s="4">
        <f>IFERROR(__xludf.DUMMYFUNCTION("""COMPUTED_VALUE"""),2.0)</f>
        <v>2</v>
      </c>
      <c r="M190" s="4">
        <f>IFERROR(__xludf.DUMMYFUNCTION("""COMPUTED_VALUE"""),2400.0)</f>
        <v>2400</v>
      </c>
      <c r="N190" s="18">
        <f>IFERROR(__xludf.DUMMYFUNCTION("""COMPUTED_VALUE"""),45305.0)</f>
        <v>45305</v>
      </c>
      <c r="O190" s="4" t="str">
        <f>IFERROR(__xludf.DUMMYFUNCTION("""COMPUTED_VALUE"""),"Delhi")</f>
        <v>Delhi</v>
      </c>
    </row>
    <row r="191" ht="14.25" customHeight="1">
      <c r="J191" s="4" t="str">
        <f>IFERROR(__xludf.DUMMYFUNCTION("""COMPUTED_VALUE"""),"Wireless Mouse")</f>
        <v>Wireless Mouse</v>
      </c>
      <c r="K191" s="4">
        <f>IFERROR(__xludf.DUMMYFUNCTION("""COMPUTED_VALUE"""),450.0)</f>
        <v>450</v>
      </c>
      <c r="L191" s="4">
        <f>IFERROR(__xludf.DUMMYFUNCTION("""COMPUTED_VALUE"""),2.0)</f>
        <v>2</v>
      </c>
      <c r="M191" s="4">
        <f>IFERROR(__xludf.DUMMYFUNCTION("""COMPUTED_VALUE"""),900.0)</f>
        <v>900</v>
      </c>
      <c r="N191" s="18">
        <f>IFERROR(__xludf.DUMMYFUNCTION("""COMPUTED_VALUE"""),45296.0)</f>
        <v>45296</v>
      </c>
      <c r="O191" s="4" t="str">
        <f>IFERROR(__xludf.DUMMYFUNCTION("""COMPUTED_VALUE"""),"Delhi")</f>
        <v>Delhi</v>
      </c>
    </row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G$1"/>
  <mergeCells count="4">
    <mergeCell ref="K18:L18"/>
    <mergeCell ref="K66:L66"/>
    <mergeCell ref="K114:M114"/>
    <mergeCell ref="K161:O16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2025-02-16T02:49:39Z</dcterms:created>
  <dc:creator>Utkarsh Tiwary</dc:creator>
</cp:coreProperties>
</file>